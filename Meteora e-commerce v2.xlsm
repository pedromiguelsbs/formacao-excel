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2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edro\Documents\GitHub\formacao-excel\"/>
    </mc:Choice>
  </mc:AlternateContent>
  <xr:revisionPtr revIDLastSave="0" documentId="13_ncr:1_{2767D212-65D5-4D88-87B5-A2F130DB7D92}" xr6:coauthVersionLast="47" xr6:coauthVersionMax="47" xr10:uidLastSave="{00000000-0000-0000-0000-000000000000}"/>
  <bookViews>
    <workbookView xWindow="-110" yWindow="-110" windowWidth="38620" windowHeight="21220" tabRatio="698" firstSheet="3" activeTab="15" xr2:uid="{F6D97A53-F63B-4272-A181-44B26E0B790F}"/>
  </bookViews>
  <sheets>
    <sheet name="Menu" sheetId="25" r:id="rId1"/>
    <sheet name="Produtos" sheetId="17" r:id="rId2"/>
    <sheet name="Vendedores" sheetId="28" r:id="rId3"/>
    <sheet name="Vendas" sheetId="16" r:id="rId4"/>
    <sheet name="Consultas" sheetId="24" r:id="rId5"/>
    <sheet name="Filtro Avançado" sheetId="39" r:id="rId6"/>
    <sheet name="Cadastros Auxiliares" sheetId="23" r:id="rId7"/>
    <sheet name="Dashboard" sheetId="18" r:id="rId8"/>
    <sheet name="Desafio 1 PROCX" sheetId="29" r:id="rId9"/>
    <sheet name="Desafio 2 PROCV" sheetId="30" r:id="rId10"/>
    <sheet name="DN_Produtos" sheetId="31" state="hidden" r:id="rId11"/>
    <sheet name="DN_Vendas" sheetId="35" state="hidden" r:id="rId12"/>
    <sheet name="DN_Vendedores" sheetId="34" state="hidden" r:id="rId13"/>
    <sheet name="Vendas Histórico" sheetId="36" r:id="rId14"/>
    <sheet name="DN_VendasHist" sheetId="38" r:id="rId15"/>
    <sheet name="Dashboard Desafio" sheetId="37" r:id="rId16"/>
  </sheets>
  <definedNames>
    <definedName name="_xlnm._FilterDatabase" localSheetId="1" hidden="1">Produtos!$B$6:$G$66</definedName>
    <definedName name="_xlnm._FilterDatabase" localSheetId="3" hidden="1">Vendas!$C$4:$E$86</definedName>
    <definedName name="_xlcn.WorksheetConnection_MeteoraEcommerceFunções.xlsxTB_Produtos" hidden="1">TB_Produtos[]</definedName>
    <definedName name="_xlcn.WorksheetConnection_MeteoraEcommerceFunções.xlsxTB_Vendas" hidden="1">TB_Vendas[]</definedName>
    <definedName name="_xlcn.WorksheetConnection_MeteoraEcommerceFunções.xlsxTB_VendasHist" hidden="1">TB_VendasHist[]</definedName>
    <definedName name="_xlcn.WorksheetConnection_MeteoraEcommerceFunções.xlsxTB_Vendedores" hidden="1">TB_Vendedores[]</definedName>
    <definedName name="_xlnm.Extract" localSheetId="5">'Filtro Avançado'!$A$4:$F$4</definedName>
    <definedName name="_xlnm.Criteria" localSheetId="5">'Filtro Avançado'!$A$1:$F$2</definedName>
    <definedName name="DadosExternos_1" localSheetId="13" hidden="1">'Vendas Histórico'!$A$1:$H$253</definedName>
    <definedName name="DESC_CATEGORIAS">'Cadastros Auxiliares'!$B$8:$E$8</definedName>
    <definedName name="DESC_QTD">'Cadastros Auxiliares'!$B$8:$B$13</definedName>
    <definedName name="SegmentaçãodeDados_Categoria1">#N/A</definedName>
    <definedName name="TB_DESC">'Cadastros Auxiliares'!$B$8:$E$13</definedName>
    <definedName name="Timeline_Data">#N/A</definedName>
    <definedName name="Timeline_Data1">#N/A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</pivotCaches>
  <extLst>
    <ext xmlns:x14="http://schemas.microsoft.com/office/spreadsheetml/2009/9/main" uri="{BBE1A952-AA13-448e-AADC-164F8A28A991}">
      <x14:slicerCaches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7" r:id="rId25"/>
        <pivotCache cacheId="8" r:id="rId26"/>
      </x15:timelineCachePivotCaches>
    </ext>
    <ext xmlns:x15="http://schemas.microsoft.com/office/spreadsheetml/2010/11/main" uri="{D0CA8CA8-9F24-4464-BF8E-62219DCF47F9}">
      <x15:timelineCacheRefs>
        <x15:timelineCacheRef r:id="rId27"/>
        <x15:timelineCacheRef r:id="rId2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Vendedores" name="TB_Vendedores" connection="WorksheetConnection_Meteora Ecommerce - Funções.xlsx!TB_Vendedores"/>
          <x15:modelTable id="TB_VendasHist" name="TB_VendasHist" connection="WorksheetConnection_Meteora Ecommerce - Funções.xlsx!TB_VendasHist"/>
          <x15:modelTable id="TB_Vendas" name="TB_Vendas" connection="WorksheetConnection_Meteora Ecommerce - Funções.xlsx!TB_Vendas"/>
          <x15:modelTable id="TB_Produtos" name="TB_Produtos" connection="WorksheetConnection_Meteora Ecommerce - Funções.xlsx!TB_Produtos"/>
        </x15:modelTables>
        <x15:modelRelationships>
          <x15:modelRelationship fromTable="TB_Vendas" fromColumn="Código" toTable="TB_Produtos" toColumn="Código"/>
          <x15:modelRelationship fromTable="TB_Vendas" fromColumn="Vendedor" toTable="TB_Vendedores" toColumn="Código"/>
          <x15:modelRelationship fromTable="TB_VendasHist" fromColumn="Código" toTable="TB_Produtos" toColumn="Código"/>
          <x15:modelRelationship fromTable="TB_VendasHist" fromColumn="Vendedor" toTable="TB_Vendedore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35" l="1"/>
  <c r="H5" i="35"/>
  <c r="H4" i="35"/>
  <c r="F8" i="24"/>
  <c r="F9" i="24"/>
  <c r="W4" i="18"/>
  <c r="J5" i="35"/>
  <c r="J4" i="35"/>
  <c r="I6" i="35"/>
  <c r="I5" i="35"/>
  <c r="I4" i="35"/>
  <c r="BK4" i="18"/>
  <c r="AQ4" i="18"/>
  <c r="J6" i="35"/>
  <c r="K5" i="38"/>
  <c r="K6" i="38"/>
  <c r="J6" i="38"/>
  <c r="K7" i="38"/>
  <c r="J5" i="38"/>
  <c r="J7" i="38"/>
  <c r="K11" i="30" l="1"/>
  <c r="K14" i="30"/>
  <c r="J8" i="30"/>
  <c r="K5" i="30"/>
  <c r="K14" i="29"/>
  <c r="J8" i="29"/>
  <c r="K5" i="29"/>
  <c r="K11" i="29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G5" i="16"/>
  <c r="I5" i="16" s="1"/>
  <c r="G6" i="16"/>
  <c r="I6" i="16" s="1"/>
  <c r="G7" i="16"/>
  <c r="I7" i="16" s="1"/>
  <c r="G8" i="16"/>
  <c r="I8" i="16" s="1"/>
  <c r="G9" i="16"/>
  <c r="I9" i="16" s="1"/>
  <c r="G10" i="16"/>
  <c r="I10" i="16" s="1"/>
  <c r="G11" i="16"/>
  <c r="I11" i="16" s="1"/>
  <c r="G12" i="16"/>
  <c r="I12" i="16" s="1"/>
  <c r="G13" i="16"/>
  <c r="I13" i="16" s="1"/>
  <c r="G14" i="16"/>
  <c r="I14" i="16" s="1"/>
  <c r="G15" i="16"/>
  <c r="I15" i="16" s="1"/>
  <c r="G16" i="16"/>
  <c r="I16" i="16" s="1"/>
  <c r="G17" i="16"/>
  <c r="I17" i="16" s="1"/>
  <c r="G18" i="16"/>
  <c r="I18" i="16" s="1"/>
  <c r="G19" i="16"/>
  <c r="I19" i="16" s="1"/>
  <c r="G20" i="16"/>
  <c r="I20" i="16" s="1"/>
  <c r="G21" i="16"/>
  <c r="I21" i="16" s="1"/>
  <c r="G22" i="16"/>
  <c r="I22" i="16" s="1"/>
  <c r="G23" i="16"/>
  <c r="I23" i="16" s="1"/>
  <c r="G24" i="16"/>
  <c r="I24" i="16" s="1"/>
  <c r="G25" i="16"/>
  <c r="I25" i="16" s="1"/>
  <c r="G26" i="16"/>
  <c r="I26" i="16" s="1"/>
  <c r="G27" i="16"/>
  <c r="I27" i="16" s="1"/>
  <c r="G28" i="16"/>
  <c r="I28" i="16" s="1"/>
  <c r="G29" i="16"/>
  <c r="I29" i="16" s="1"/>
  <c r="G30" i="16"/>
  <c r="I30" i="16" s="1"/>
  <c r="G31" i="16"/>
  <c r="I31" i="16" s="1"/>
  <c r="G32" i="16"/>
  <c r="I32" i="16" s="1"/>
  <c r="G33" i="16"/>
  <c r="I33" i="16" s="1"/>
  <c r="G34" i="16"/>
  <c r="I34" i="16" s="1"/>
  <c r="G35" i="16"/>
  <c r="I35" i="16" s="1"/>
  <c r="G36" i="16"/>
  <c r="I36" i="16" s="1"/>
  <c r="G37" i="16"/>
  <c r="I37" i="16" s="1"/>
  <c r="G38" i="16"/>
  <c r="I38" i="16" s="1"/>
  <c r="G39" i="16"/>
  <c r="I39" i="16" s="1"/>
  <c r="G40" i="16"/>
  <c r="I40" i="16" s="1"/>
  <c r="G41" i="16"/>
  <c r="I41" i="16" s="1"/>
  <c r="G42" i="16"/>
  <c r="I42" i="16" s="1"/>
  <c r="G43" i="16"/>
  <c r="I43" i="16" s="1"/>
  <c r="G44" i="16"/>
  <c r="I44" i="16" s="1"/>
  <c r="G45" i="16"/>
  <c r="I45" i="16" s="1"/>
  <c r="G46" i="16"/>
  <c r="I46" i="16" s="1"/>
  <c r="G47" i="16"/>
  <c r="I47" i="16" s="1"/>
  <c r="G48" i="16"/>
  <c r="I48" i="16" s="1"/>
  <c r="G49" i="16"/>
  <c r="I49" i="16" s="1"/>
  <c r="G50" i="16"/>
  <c r="I50" i="16" s="1"/>
  <c r="G51" i="16"/>
  <c r="I51" i="16" s="1"/>
  <c r="G52" i="16"/>
  <c r="I52" i="16" s="1"/>
  <c r="G53" i="16"/>
  <c r="I53" i="16" s="1"/>
  <c r="G54" i="16"/>
  <c r="I54" i="16" s="1"/>
  <c r="G55" i="16"/>
  <c r="I55" i="16" s="1"/>
  <c r="G56" i="16"/>
  <c r="I56" i="16" s="1"/>
  <c r="G57" i="16"/>
  <c r="I57" i="16" s="1"/>
  <c r="G58" i="16"/>
  <c r="I58" i="16" s="1"/>
  <c r="G59" i="16"/>
  <c r="I59" i="16" s="1"/>
  <c r="G60" i="16"/>
  <c r="I60" i="16" s="1"/>
  <c r="G61" i="16"/>
  <c r="I61" i="16" s="1"/>
  <c r="G62" i="16"/>
  <c r="I62" i="16" s="1"/>
  <c r="G63" i="16"/>
  <c r="I63" i="16" s="1"/>
  <c r="G64" i="16"/>
  <c r="I64" i="16" s="1"/>
  <c r="G65" i="16"/>
  <c r="I65" i="16" s="1"/>
  <c r="G66" i="16"/>
  <c r="I66" i="16" s="1"/>
  <c r="G67" i="16"/>
  <c r="I67" i="16" s="1"/>
  <c r="G68" i="16"/>
  <c r="I68" i="16" s="1"/>
  <c r="G69" i="16"/>
  <c r="I69" i="16" s="1"/>
  <c r="G70" i="16"/>
  <c r="I70" i="16" s="1"/>
  <c r="G71" i="16"/>
  <c r="I71" i="16" s="1"/>
  <c r="G72" i="16"/>
  <c r="I72" i="16" s="1"/>
  <c r="G73" i="16"/>
  <c r="I73" i="16" s="1"/>
  <c r="G74" i="16"/>
  <c r="I74" i="16" s="1"/>
  <c r="G75" i="16"/>
  <c r="I75" i="16" s="1"/>
  <c r="G76" i="16"/>
  <c r="I76" i="16" s="1"/>
  <c r="G77" i="16"/>
  <c r="I77" i="16" s="1"/>
  <c r="G78" i="16"/>
  <c r="I78" i="16" s="1"/>
  <c r="G79" i="16"/>
  <c r="I79" i="16" s="1"/>
  <c r="G80" i="16"/>
  <c r="I80" i="16" s="1"/>
  <c r="G81" i="16"/>
  <c r="I81" i="16" s="1"/>
  <c r="G82" i="16"/>
  <c r="I82" i="16" s="1"/>
  <c r="G83" i="16"/>
  <c r="I83" i="16" s="1"/>
  <c r="G84" i="16"/>
  <c r="I84" i="16" s="1"/>
  <c r="G85" i="16"/>
  <c r="I85" i="16" s="1"/>
  <c r="G86" i="16"/>
  <c r="I86" i="16" s="1"/>
  <c r="F5" i="16" l="1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7" i="24"/>
  <c r="C11" i="24" l="1"/>
  <c r="C10" i="24"/>
  <c r="C9" i="24"/>
  <c r="C13" i="24" s="1"/>
  <c r="C8" i="24"/>
  <c r="C7" i="24"/>
  <c r="C12" i="24" l="1" a="1"/>
  <c r="C12" i="24" s="1"/>
  <c r="J68" i="16"/>
  <c r="J76" i="16"/>
  <c r="A76" i="16"/>
  <c r="B76" i="16" s="1"/>
  <c r="A77" i="16"/>
  <c r="B77" i="16" s="1"/>
  <c r="A78" i="16"/>
  <c r="B78" i="16" s="1"/>
  <c r="A79" i="16"/>
  <c r="B79" i="16" s="1"/>
  <c r="A80" i="16"/>
  <c r="B80" i="16" s="1"/>
  <c r="A81" i="16"/>
  <c r="B81" i="16" s="1"/>
  <c r="A82" i="16"/>
  <c r="B82" i="16" s="1"/>
  <c r="A83" i="16"/>
  <c r="B83" i="16" s="1"/>
  <c r="A84" i="16"/>
  <c r="B84" i="16" s="1"/>
  <c r="A85" i="16"/>
  <c r="B85" i="16" s="1"/>
  <c r="A86" i="16"/>
  <c r="B86" i="16" s="1"/>
  <c r="A65" i="16"/>
  <c r="B65" i="16" s="1"/>
  <c r="A66" i="16"/>
  <c r="B66" i="16" s="1"/>
  <c r="A67" i="16"/>
  <c r="B67" i="16" s="1"/>
  <c r="A68" i="16"/>
  <c r="B68" i="16" s="1"/>
  <c r="A69" i="16"/>
  <c r="B69" i="16" s="1"/>
  <c r="A70" i="16"/>
  <c r="B70" i="16" s="1"/>
  <c r="A71" i="16"/>
  <c r="B71" i="16" s="1"/>
  <c r="A72" i="16"/>
  <c r="B72" i="16" s="1"/>
  <c r="A73" i="16"/>
  <c r="B73" i="16" s="1"/>
  <c r="A74" i="16"/>
  <c r="B74" i="16" s="1"/>
  <c r="A75" i="16"/>
  <c r="B75" i="16" s="1"/>
  <c r="A64" i="16"/>
  <c r="B64" i="16" s="1"/>
  <c r="A5" i="16"/>
  <c r="B5" i="16" s="1"/>
  <c r="J83" i="16" l="1"/>
  <c r="J75" i="16"/>
  <c r="J73" i="16"/>
  <c r="J65" i="16"/>
  <c r="J64" i="16"/>
  <c r="J79" i="16"/>
  <c r="J71" i="16"/>
  <c r="J80" i="16"/>
  <c r="J72" i="16"/>
  <c r="J84" i="16"/>
  <c r="J67" i="16"/>
  <c r="J82" i="16"/>
  <c r="J74" i="16"/>
  <c r="J66" i="16"/>
  <c r="J86" i="16"/>
  <c r="J78" i="16"/>
  <c r="J70" i="16"/>
  <c r="J85" i="16"/>
  <c r="J77" i="16"/>
  <c r="J69" i="16"/>
  <c r="J81" i="16"/>
  <c r="J5" i="16" l="1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A23" i="16" l="1"/>
  <c r="B23" i="16" s="1"/>
  <c r="A24" i="16"/>
  <c r="B24" i="16" s="1"/>
  <c r="A25" i="16"/>
  <c r="B25" i="16" s="1"/>
  <c r="A26" i="16"/>
  <c r="B26" i="16" s="1"/>
  <c r="A27" i="16"/>
  <c r="B27" i="16" s="1"/>
  <c r="A28" i="16"/>
  <c r="B28" i="16" s="1"/>
  <c r="A29" i="16"/>
  <c r="B29" i="16" s="1"/>
  <c r="A30" i="16"/>
  <c r="B30" i="16" s="1"/>
  <c r="A31" i="16"/>
  <c r="B31" i="16" s="1"/>
  <c r="A32" i="16"/>
  <c r="B32" i="16" s="1"/>
  <c r="A33" i="16"/>
  <c r="B33" i="16" s="1"/>
  <c r="A34" i="16"/>
  <c r="B34" i="16" s="1"/>
  <c r="A35" i="16"/>
  <c r="B35" i="16" s="1"/>
  <c r="A36" i="16"/>
  <c r="B36" i="16" s="1"/>
  <c r="A37" i="16"/>
  <c r="B37" i="16" s="1"/>
  <c r="A38" i="16"/>
  <c r="B38" i="16" s="1"/>
  <c r="A39" i="16"/>
  <c r="B39" i="16" s="1"/>
  <c r="A40" i="16"/>
  <c r="B40" i="16" s="1"/>
  <c r="A41" i="16"/>
  <c r="B41" i="16" s="1"/>
  <c r="A42" i="16"/>
  <c r="B42" i="16" s="1"/>
  <c r="A43" i="16"/>
  <c r="B43" i="16" s="1"/>
  <c r="A44" i="16"/>
  <c r="B44" i="16" s="1"/>
  <c r="A45" i="16"/>
  <c r="B45" i="16" s="1"/>
  <c r="A46" i="16"/>
  <c r="B46" i="16" s="1"/>
  <c r="A47" i="16"/>
  <c r="B47" i="16" s="1"/>
  <c r="A48" i="16"/>
  <c r="B48" i="16" s="1"/>
  <c r="A49" i="16"/>
  <c r="B49" i="16" s="1"/>
  <c r="A50" i="16"/>
  <c r="B50" i="16" s="1"/>
  <c r="A51" i="16"/>
  <c r="B51" i="16" s="1"/>
  <c r="A52" i="16"/>
  <c r="B52" i="16" s="1"/>
  <c r="A53" i="16"/>
  <c r="B53" i="16" s="1"/>
  <c r="A54" i="16"/>
  <c r="B54" i="16" s="1"/>
  <c r="A55" i="16"/>
  <c r="B55" i="16" s="1"/>
  <c r="A56" i="16"/>
  <c r="B56" i="16" s="1"/>
  <c r="A57" i="16"/>
  <c r="B57" i="16" s="1"/>
  <c r="A58" i="16"/>
  <c r="B58" i="16" s="1"/>
  <c r="A59" i="16"/>
  <c r="B59" i="16" s="1"/>
  <c r="A60" i="16"/>
  <c r="B60" i="16" s="1"/>
  <c r="A61" i="16"/>
  <c r="B61" i="16" s="1"/>
  <c r="A62" i="16"/>
  <c r="B62" i="16" s="1"/>
  <c r="A63" i="16"/>
  <c r="B63" i="16" s="1"/>
  <c r="A6" i="16"/>
  <c r="B6" i="16" s="1"/>
  <c r="A7" i="16"/>
  <c r="B7" i="16" s="1"/>
  <c r="A8" i="16"/>
  <c r="B8" i="16" s="1"/>
  <c r="A9" i="16"/>
  <c r="B9" i="16" s="1"/>
  <c r="A10" i="16"/>
  <c r="B10" i="16" s="1"/>
  <c r="A11" i="16"/>
  <c r="B11" i="16" s="1"/>
  <c r="A12" i="16"/>
  <c r="B12" i="16" s="1"/>
  <c r="A13" i="16"/>
  <c r="B13" i="16" s="1"/>
  <c r="A14" i="16"/>
  <c r="B14" i="16" s="1"/>
  <c r="A15" i="16"/>
  <c r="B15" i="16" s="1"/>
  <c r="A16" i="16"/>
  <c r="B16" i="16" s="1"/>
  <c r="A17" i="16"/>
  <c r="B17" i="16" s="1"/>
  <c r="A18" i="16"/>
  <c r="B18" i="16" s="1"/>
  <c r="A19" i="16"/>
  <c r="B19" i="16" s="1"/>
  <c r="A20" i="16"/>
  <c r="B20" i="16" s="1"/>
  <c r="A21" i="16"/>
  <c r="B21" i="16" s="1"/>
  <c r="A22" i="16"/>
  <c r="B22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C25F72-B502-4E10-B403-09ED8B2136BD}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2" xr16:uid="{D71D6989-65F2-46F3-9FE4-13D004A2C646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5CED9E58-BCB9-4EC8-B9EA-CF9E98F0A9F5}" name="WorksheetConnection_Meteora Ecommerce - Funções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Funções.xlsxTB_Produtos"/>
        </x15:connection>
      </ext>
    </extLst>
  </connection>
  <connection id="4" xr16:uid="{DB8C480F-8EEF-4FB9-8C8F-F1DBBECC7564}" name="WorksheetConnection_Meteora Ecommerce - Funções.xlsx!TB_Vendas" type="102" refreshedVersion="8" minRefreshableVersion="5">
    <extLst>
      <ext xmlns:x15="http://schemas.microsoft.com/office/spreadsheetml/2010/11/main" uri="{DE250136-89BD-433C-8126-D09CA5730AF9}">
        <x15:connection id="TB_Vendas">
          <x15:rangePr sourceName="_xlcn.WorksheetConnection_MeteoraEcommerceFunções.xlsxTB_Vendas"/>
        </x15:connection>
      </ext>
    </extLst>
  </connection>
  <connection id="5" xr16:uid="{9FB90F94-8DF4-458B-9409-4052FA52CC53}" name="WorksheetConnection_Meteora Ecommerce - Funções.xlsx!TB_VendasHist" type="102" refreshedVersion="8" minRefreshableVersion="5">
    <extLst>
      <ext xmlns:x15="http://schemas.microsoft.com/office/spreadsheetml/2010/11/main" uri="{DE250136-89BD-433C-8126-D09CA5730AF9}">
        <x15:connection id="TB_VendasHist" autoDelete="1">
          <x15:rangePr sourceName="_xlcn.WorksheetConnection_MeteoraEcommerceFunções.xlsxTB_VendasHist"/>
        </x15:connection>
      </ext>
    </extLst>
  </connection>
  <connection id="6" xr16:uid="{789111A0-59A3-4B62-B030-F609BEA507EC}" name="WorksheetConnection_Meteora Ecommerce - Funções.xlsx!TB_Vendedores" type="102" refreshedVersion="8" minRefreshableVersion="5">
    <extLst>
      <ext xmlns:x15="http://schemas.microsoft.com/office/spreadsheetml/2010/11/main" uri="{DE250136-89BD-433C-8126-D09CA5730AF9}">
        <x15:connection id="TB_Vendedores" autoDelete="1">
          <x15:rangePr sourceName="_xlcn.WorksheetConnection_MeteoraEcommerceFunções.xlsxTB_Vendedore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<sst xmlns="http://schemas.openxmlformats.org/spreadsheetml/2006/main" count="1417" uniqueCount="191">
  <si>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</si>
  <si>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</si>
  <si>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</si>
  <si>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</si>
  <si>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</si>
  <si>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</si>
  <si>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</si>
  <si>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</si>
  <si>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</si>
  <si>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</si>
  <si>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</si>
  <si>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</si>
  <si>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</si>
  <si>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</si>
  <si>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</si>
  <si>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</si>
  <si>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</si>
  <si>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</si>
  <si>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</si>
  <si>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</si>
  <si>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</si>
  <si>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</si>
  <si>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</si>
  <si>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</si>
  <si>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</si>
  <si>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</si>
  <si>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</si>
  <si>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</si>
  <si>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</si>
  <si>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</si>
  <si>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</si>
  <si>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Mês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</si>
  <si>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</si>
  <si>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</si>
  <si>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</si>
  <si>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</si>
  <si>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</si>
  <si>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</si>
  <si>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</si>
  <si>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</si>
  <si>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</si>
  <si>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</si>
  <si>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</si>
  <si>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</si>
  <si>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</si>
  <si>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</si>
  <si>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</si>
  <si>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</si>
  <si>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</si>
  <si>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</si>
  <si>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</si>
  <si>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</si>
  <si>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</si>
  <si>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</si>
  <si>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</si>
  <si>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</si>
  <si>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</si>
  <si>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</si>
  <si>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</si>
  <si>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</si>
  <si>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</si>
  <si>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</si>
  <si>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</si>
  <si>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</si>
  <si>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</si>
  <si>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</si>
  <si>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</si>
  <si>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</si>
  <si>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</si>
  <si>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</si>
  <si>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</si>
  <si>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</si>
  <si>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</si>
  <si>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</si>
  <si>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</si>
  <si>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</si>
  <si>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</si>
  <si>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</si>
  <si>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</si>
  <si>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</si>
  <si>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</si>
  <si>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</si>
  <si>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</si>
  <si>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% Restante</t>
  </si>
  <si>
    <t>% Vendas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</si>
  <si>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</si>
  <si>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</si>
  <si>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</si>
  <si>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</si>
  <si>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</si>
  <si>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</si>
  <si>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</si>
  <si>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</si>
  <si>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</si>
  <si>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</si>
  <si>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</si>
  <si>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</si>
  <si>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</si>
  <si>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</si>
  <si>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</si>
  <si>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</si>
  <si>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</si>
  <si>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</si>
  <si>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</si>
  <si>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</si>
  <si>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</si>
  <si>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</si>
  <si>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</si>
  <si>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</si>
  <si>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</si>
  <si>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</si>
  <si>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</si>
  <si>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</si>
  <si>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</si>
  <si>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</si>
  <si>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</si>
  <si>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</si>
  <si>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</si>
  <si>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</si>
  <si>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</si>
  <si>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</si>
  <si>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</si>
  <si>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Desconto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</si>
  <si>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</si>
  <si>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</si>
  <si>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</si>
  <si>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</si>
  <si>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</si>
  <si>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</si>
  <si>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</si>
  <si>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</si>
  <si>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</si>
  <si>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</si>
  <si>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</si>
  <si>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</si>
  <si>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</si>
  <si>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</si>
  <si>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</si>
  <si>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</si>
  <si>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</si>
  <si>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</si>
  <si>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</si>
  <si>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</si>
  <si>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</si>
  <si>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</si>
  <si>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</si>
  <si>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</si>
  <si>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</si>
  <si>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</si>
  <si>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</si>
  <si>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</si>
  <si>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</si>
  <si>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</si>
  <si>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</si>
  <si>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</si>
  <si>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</si>
  <si>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</si>
  <si>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>Desc. Vendedor</t>
  </si>
  <si>
    <t>Desconto Calculado</t>
  </si>
  <si>
    <t>Ache o preço do produto que tenha aproximadamente 20 quantidades</t>
  </si>
  <si>
    <t>Ache um produto com aproximadamente 35 quantidades</t>
  </si>
  <si>
    <t>Responda sim, se houver  uma bermuda que custa 65,90</t>
  </si>
  <si>
    <t>Qual o produto mais caro da lista?</t>
  </si>
  <si>
    <t>QTD</t>
  </si>
  <si>
    <t>R$</t>
  </si>
  <si>
    <t>Estoque mínimo: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</si>
  <si>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</si>
  <si>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</si>
  <si>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</si>
  <si>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</si>
  <si>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</si>
  <si>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</si>
  <si>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</si>
  <si>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</si>
  <si>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</si>
  <si>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</si>
  <si>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</si>
  <si>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</si>
  <si>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</si>
  <si>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</si>
  <si>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</si>
  <si>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Desconto Final</t>
  </si>
  <si>
    <t>set</t>
  </si>
  <si>
    <t>out</t>
  </si>
  <si>
    <t>nov</t>
  </si>
  <si>
    <t>dez</t>
  </si>
  <si>
    <t>PR05?</t>
  </si>
  <si>
    <t>&gt;20</t>
  </si>
  <si>
    <t>% Vendida</t>
  </si>
  <si>
    <t>Dados p/ Gráfico</t>
  </si>
  <si>
    <t>% de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</si>
</sst>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&quot;R$&quot;\ #,##0.00"/>
    <numFmt numFmtId="167" formatCode="0%;\-0%;0%"/>
  </numFmts>
  <fonts count="33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7"/>
      <name val="Calibri"/>
      <family val="2"/>
      <scheme val="minor"/>
    </font>
    <font>
      <sz val="16"/>
      <color theme="9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/>
      <right style="medium">
        <color indexed="64"/>
      </right>
      <top style="thin">
        <color theme="1"/>
      </top>
      <bottom/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/>
      <right/>
      <top style="thin">
        <color theme="1"/>
      </top>
      <bottom style="medium">
        <color indexed="64"/>
      </bottom>
      <diagonal/>
    </border>
    <border>
      <left/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2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41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0" xfId="3" applyFill="1" applyBorder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1" xfId="3" applyFont="1" applyFill="1" applyBorder="1" applyAlignment="1">
      <alignment horizontal="center"/>
    </xf>
    <xf numFmtId="0" fontId="16" fillId="2" borderId="0" xfId="3" applyFont="1" applyFill="1" applyBorder="1" applyAlignment="1">
      <alignment horizontal="center"/>
    </xf>
    <xf numFmtId="0" fontId="13" fillId="6" borderId="0" xfId="0" applyFont="1" applyFill="1" applyAlignment="1">
      <alignment horizontal="center"/>
    </xf>
    <xf numFmtId="1" fontId="18" fillId="7" borderId="2" xfId="0" applyNumberFormat="1" applyFont="1" applyFill="1" applyBorder="1" applyAlignment="1">
      <alignment horizontal="center"/>
    </xf>
    <xf numFmtId="1" fontId="18" fillId="7" borderId="12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15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19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 vertical="center"/>
    </xf>
    <xf numFmtId="0" fontId="14" fillId="2" borderId="13" xfId="3" applyFont="1" applyFill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9" fontId="15" fillId="0" borderId="2" xfId="5" applyFont="1" applyBorder="1" applyAlignment="1">
      <alignment horizontal="center" vertical="center"/>
    </xf>
    <xf numFmtId="0" fontId="14" fillId="2" borderId="20" xfId="3" applyFont="1" applyFill="1" applyBorder="1" applyAlignment="1">
      <alignment horizontal="center" vertical="center" wrapText="1"/>
    </xf>
    <xf numFmtId="0" fontId="14" fillId="2" borderId="20" xfId="3" applyFont="1" applyFill="1" applyBorder="1" applyAlignment="1">
      <alignment horizontal="center" vertical="center"/>
    </xf>
    <xf numFmtId="9" fontId="15" fillId="0" borderId="20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9" fontId="0" fillId="0" borderId="0" xfId="5" applyFont="1" applyAlignment="1">
      <alignment horizontal="center"/>
    </xf>
    <xf numFmtId="0" fontId="23" fillId="7" borderId="14" xfId="0" applyFont="1" applyFill="1" applyBorder="1" applyAlignment="1">
      <alignment horizontal="center"/>
    </xf>
    <xf numFmtId="0" fontId="16" fillId="2" borderId="17" xfId="3" applyFont="1" applyFill="1" applyBorder="1" applyAlignment="1">
      <alignment horizontal="right"/>
    </xf>
    <xf numFmtId="0" fontId="16" fillId="2" borderId="6" xfId="3" applyFont="1" applyFill="1" applyBorder="1" applyAlignment="1">
      <alignment horizontal="right"/>
    </xf>
    <xf numFmtId="0" fontId="16" fillId="2" borderId="18" xfId="3" applyFont="1" applyFill="1" applyBorder="1" applyAlignment="1">
      <alignment horizontal="right"/>
    </xf>
    <xf numFmtId="0" fontId="16" fillId="2" borderId="21" xfId="3" applyFont="1" applyFill="1" applyBorder="1" applyAlignment="1">
      <alignment horizontal="right"/>
    </xf>
    <xf numFmtId="14" fontId="23" fillId="7" borderId="14" xfId="0" applyNumberFormat="1" applyFont="1" applyFill="1" applyBorder="1" applyAlignment="1">
      <alignment horizontal="center"/>
    </xf>
    <xf numFmtId="165" fontId="23" fillId="7" borderId="15" xfId="0" applyNumberFormat="1" applyFont="1" applyFill="1" applyBorder="1" applyAlignment="1">
      <alignment horizontal="center" vertical="center"/>
    </xf>
    <xf numFmtId="0" fontId="16" fillId="2" borderId="8" xfId="3" applyFont="1" applyFill="1" applyBorder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7" fillId="0" borderId="0" xfId="0" applyFont="1" applyAlignment="1">
      <alignment horizontal="right"/>
    </xf>
    <xf numFmtId="0" fontId="28" fillId="0" borderId="0" xfId="0" applyFont="1"/>
    <xf numFmtId="0" fontId="15" fillId="0" borderId="20" xfId="5" applyNumberFormat="1" applyFont="1" applyBorder="1" applyAlignment="1">
      <alignment horizontal="center" vertical="center"/>
    </xf>
    <xf numFmtId="9" fontId="0" fillId="0" borderId="0" xfId="5" applyFont="1" applyFill="1" applyAlignment="1">
      <alignment horizontal="center" vertical="center"/>
    </xf>
    <xf numFmtId="0" fontId="22" fillId="3" borderId="0" xfId="0" applyFont="1" applyFill="1" applyAlignment="1">
      <alignment horizontal="left" vertical="center"/>
    </xf>
    <xf numFmtId="1" fontId="18" fillId="7" borderId="22" xfId="0" applyNumberFormat="1" applyFont="1" applyFill="1" applyBorder="1" applyAlignment="1">
      <alignment horizontal="center"/>
    </xf>
    <xf numFmtId="9" fontId="15" fillId="0" borderId="23" xfId="5" applyFont="1" applyBorder="1" applyAlignment="1">
      <alignment horizontal="center"/>
    </xf>
    <xf numFmtId="0" fontId="14" fillId="2" borderId="24" xfId="3" applyFont="1" applyFill="1" applyBorder="1" applyAlignment="1">
      <alignment horizontal="center"/>
    </xf>
    <xf numFmtId="0" fontId="14" fillId="2" borderId="25" xfId="3" applyFont="1" applyFill="1" applyBorder="1" applyAlignment="1">
      <alignment horizontal="center"/>
    </xf>
    <xf numFmtId="0" fontId="14" fillId="2" borderId="26" xfId="3" applyFont="1" applyFill="1" applyBorder="1" applyAlignment="1">
      <alignment horizontal="center"/>
    </xf>
    <xf numFmtId="1" fontId="18" fillId="7" borderId="27" xfId="0" applyNumberFormat="1" applyFont="1" applyFill="1" applyBorder="1" applyAlignment="1">
      <alignment horizontal="center"/>
    </xf>
    <xf numFmtId="1" fontId="15" fillId="0" borderId="28" xfId="0" applyNumberFormat="1" applyFont="1" applyBorder="1" applyAlignment="1">
      <alignment horizontal="center"/>
    </xf>
    <xf numFmtId="9" fontId="15" fillId="0" borderId="29" xfId="5" applyFont="1" applyBorder="1" applyAlignment="1">
      <alignment horizontal="center"/>
    </xf>
    <xf numFmtId="0" fontId="29" fillId="0" borderId="30" xfId="0" applyFont="1" applyBorder="1" applyAlignment="1">
      <alignment horizontal="center"/>
    </xf>
    <xf numFmtId="0" fontId="13" fillId="6" borderId="3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  <xf numFmtId="0" fontId="13" fillId="6" borderId="5" xfId="0" applyFont="1" applyFill="1" applyBorder="1" applyAlignment="1">
      <alignment horizontal="center"/>
    </xf>
    <xf numFmtId="0" fontId="29" fillId="0" borderId="31" xfId="0" applyFont="1" applyBorder="1"/>
    <xf numFmtId="165" fontId="29" fillId="0" borderId="32" xfId="0" applyNumberFormat="1" applyFont="1" applyBorder="1"/>
    <xf numFmtId="0" fontId="29" fillId="0" borderId="33" xfId="0" applyFont="1" applyBorder="1"/>
    <xf numFmtId="0" fontId="29" fillId="0" borderId="34" xfId="0" applyFont="1" applyBorder="1" applyAlignment="1">
      <alignment horizontal="center"/>
    </xf>
    <xf numFmtId="165" fontId="29" fillId="0" borderId="35" xfId="0" applyNumberFormat="1" applyFont="1" applyBorder="1"/>
    <xf numFmtId="165" fontId="29" fillId="8" borderId="0" xfId="4" applyNumberFormat="1" applyFont="1" applyFill="1" applyAlignment="1">
      <alignment vertical="center"/>
    </xf>
    <xf numFmtId="0" fontId="29" fillId="8" borderId="0" xfId="0" applyFont="1" applyFill="1"/>
    <xf numFmtId="0" fontId="29" fillId="0" borderId="30" xfId="0" applyFont="1" applyBorder="1"/>
    <xf numFmtId="165" fontId="29" fillId="0" borderId="30" xfId="0" applyNumberFormat="1" applyFont="1" applyBorder="1"/>
    <xf numFmtId="165" fontId="30" fillId="0" borderId="0" xfId="4" applyNumberFormat="1" applyFont="1" applyFill="1" applyAlignment="1"/>
    <xf numFmtId="9" fontId="0" fillId="0" borderId="0" xfId="5" applyFont="1" applyFill="1"/>
    <xf numFmtId="0" fontId="23" fillId="7" borderId="13" xfId="0" applyFont="1" applyFill="1" applyBorder="1" applyAlignment="1">
      <alignment horizontal="center" vertical="center"/>
    </xf>
    <xf numFmtId="0" fontId="23" fillId="7" borderId="36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29" fillId="0" borderId="0" xfId="0" applyFont="1"/>
    <xf numFmtId="0" fontId="29" fillId="0" borderId="0" xfId="0" pivotButton="1" applyFont="1"/>
    <xf numFmtId="0" fontId="29" fillId="0" borderId="0" xfId="0" applyFont="1" applyAlignment="1">
      <alignment horizontal="left"/>
    </xf>
    <xf numFmtId="166" fontId="29" fillId="0" borderId="0" xfId="0" applyNumberFormat="1" applyFont="1"/>
    <xf numFmtId="0" fontId="29" fillId="0" borderId="0" xfId="0" applyFont="1" applyAlignment="1">
      <alignment horizontal="left" indent="1"/>
    </xf>
    <xf numFmtId="166" fontId="0" fillId="0" borderId="0" xfId="0" applyNumberFormat="1"/>
    <xf numFmtId="167" fontId="0" fillId="0" borderId="0" xfId="0" applyNumberFormat="1"/>
    <xf numFmtId="9" fontId="0" fillId="0" borderId="0" xfId="5" applyFont="1"/>
    <xf numFmtId="14" fontId="0" fillId="0" borderId="0" xfId="0" applyNumberFormat="1"/>
    <xf numFmtId="0" fontId="13" fillId="6" borderId="37" xfId="0" applyFont="1" applyFill="1" applyBorder="1" applyAlignment="1">
      <alignment horizontal="center"/>
    </xf>
    <xf numFmtId="0" fontId="13" fillId="6" borderId="30" xfId="0" applyFont="1" applyFill="1" applyBorder="1" applyAlignment="1">
      <alignment horizontal="center"/>
    </xf>
    <xf numFmtId="0" fontId="13" fillId="6" borderId="38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9" xfId="0" applyBorder="1"/>
    <xf numFmtId="0" fontId="0" fillId="0" borderId="39" xfId="0" applyBorder="1" applyAlignment="1">
      <alignment horizontal="center"/>
    </xf>
    <xf numFmtId="165" fontId="0" fillId="0" borderId="22" xfId="0" applyNumberFormat="1" applyBorder="1"/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165" fontId="10" fillId="0" borderId="3" xfId="4" applyNumberFormat="1" applyFont="1" applyBorder="1" applyAlignment="1">
      <alignment horizontal="center"/>
    </xf>
    <xf numFmtId="165" fontId="10" fillId="0" borderId="4" xfId="4" applyNumberFormat="1" applyFont="1" applyBorder="1" applyAlignment="1">
      <alignment horizontal="center"/>
    </xf>
    <xf numFmtId="165" fontId="10" fillId="0" borderId="5" xfId="4" applyNumberFormat="1" applyFont="1" applyBorder="1" applyAlignment="1">
      <alignment horizontal="center"/>
    </xf>
    <xf numFmtId="165" fontId="10" fillId="0" borderId="6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7" xfId="4" applyNumberFormat="1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5" fontId="29" fillId="8" borderId="0" xfId="4" applyNumberFormat="1" applyFont="1" applyFill="1" applyAlignment="1">
      <alignment horizontal="center"/>
    </xf>
    <xf numFmtId="0" fontId="13" fillId="6" borderId="6" xfId="0" applyFont="1" applyFill="1" applyBorder="1" applyAlignment="1">
      <alignment horizontal="center"/>
    </xf>
    <xf numFmtId="0" fontId="13" fillId="6" borderId="0" xfId="0" applyFont="1" applyFill="1" applyAlignment="1">
      <alignment horizontal="center"/>
    </xf>
    <xf numFmtId="0" fontId="29" fillId="8" borderId="0" xfId="0" applyFont="1" applyFill="1" applyAlignment="1">
      <alignment horizontal="center"/>
    </xf>
    <xf numFmtId="165" fontId="29" fillId="8" borderId="0" xfId="4" applyNumberFormat="1" applyFont="1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32" fillId="9" borderId="41" xfId="0" applyNumberFormat="1" applyFont="1" applyFill="1" applyBorder="1" applyAlignment="1">
      <alignment horizontal="center" vertical="center"/>
    </xf>
    <xf numFmtId="0" fontId="32" fillId="9" borderId="40" xfId="0" applyFont="1" applyFill="1" applyBorder="1" applyAlignment="1">
      <alignment horizontal="center" vertical="center"/>
    </xf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44"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6" formatCode="&quot;R$&quot;\ #,##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_-[$R$-416]\ * #,##0.00_-;\-[$R$-416]\ * #,##0.00_-;_-[$R$-416]\ 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Montserrat"/>
        <scheme val="none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ontserrat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ontserrat"/>
        <scheme val="none"/>
      </font>
      <numFmt numFmtId="1" formatCode="0"/>
      <fill>
        <patternFill patternType="solid">
          <fgColor indexed="64"/>
          <bgColor rgb="FFCCCCCC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 tint="-4.9989318521683403E-2"/>
        <name val="Montserrat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pivotCacheDefinition" Target="pivotCache/pivotCacheDefinition9.xml"/><Relationship Id="rId39" Type="http://schemas.openxmlformats.org/officeDocument/2006/relationships/customXml" Target="../customXml/item4.xml"/><Relationship Id="rId21" Type="http://schemas.openxmlformats.org/officeDocument/2006/relationships/pivotCacheDefinition" Target="pivotCache/pivotCacheDefinition5.xml"/><Relationship Id="rId34" Type="http://schemas.openxmlformats.org/officeDocument/2006/relationships/powerPivotData" Target="model/item.data"/><Relationship Id="rId42" Type="http://schemas.openxmlformats.org/officeDocument/2006/relationships/customXml" Target="../customXml/item7.xml"/><Relationship Id="rId47" Type="http://schemas.openxmlformats.org/officeDocument/2006/relationships/customXml" Target="../customXml/item12.xml"/><Relationship Id="rId50" Type="http://schemas.openxmlformats.org/officeDocument/2006/relationships/customXml" Target="../customXml/item15.xml"/><Relationship Id="rId55" Type="http://schemas.openxmlformats.org/officeDocument/2006/relationships/customXml" Target="../customXml/item20.xml"/><Relationship Id="rId63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45" Type="http://schemas.openxmlformats.org/officeDocument/2006/relationships/customXml" Target="../customXml/item10.xml"/><Relationship Id="rId53" Type="http://schemas.openxmlformats.org/officeDocument/2006/relationships/customXml" Target="../customXml/item18.xml"/><Relationship Id="rId58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6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microsoft.com/office/2011/relationships/timelineCache" Target="timelineCaches/timelineCache1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43" Type="http://schemas.openxmlformats.org/officeDocument/2006/relationships/customXml" Target="../customXml/item8.xml"/><Relationship Id="rId48" Type="http://schemas.openxmlformats.org/officeDocument/2006/relationships/customXml" Target="../customXml/item13.xml"/><Relationship Id="rId56" Type="http://schemas.openxmlformats.org/officeDocument/2006/relationships/customXml" Target="../customXml/item21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ivotCacheDefinition" Target="pivotCache/pivotCacheDefinition8.xml"/><Relationship Id="rId33" Type="http://schemas.openxmlformats.org/officeDocument/2006/relationships/sheetMetadata" Target="metadata.xml"/><Relationship Id="rId38" Type="http://schemas.openxmlformats.org/officeDocument/2006/relationships/customXml" Target="../customXml/item3.xml"/><Relationship Id="rId46" Type="http://schemas.openxmlformats.org/officeDocument/2006/relationships/customXml" Target="../customXml/item11.xml"/><Relationship Id="rId59" Type="http://schemas.openxmlformats.org/officeDocument/2006/relationships/customXml" Target="../customXml/item24.xml"/><Relationship Id="rId20" Type="http://schemas.openxmlformats.org/officeDocument/2006/relationships/pivotCacheDefinition" Target="pivotCache/pivotCacheDefinition4.xml"/><Relationship Id="rId41" Type="http://schemas.openxmlformats.org/officeDocument/2006/relationships/customXml" Target="../customXml/item6.xml"/><Relationship Id="rId54" Type="http://schemas.openxmlformats.org/officeDocument/2006/relationships/customXml" Target="../customXml/item19.xml"/><Relationship Id="rId62" Type="http://schemas.openxmlformats.org/officeDocument/2006/relationships/customXml" Target="../customXml/item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microsoft.com/office/2011/relationships/timelineCache" Target="timelineCaches/timelineCache2.xml"/><Relationship Id="rId36" Type="http://schemas.openxmlformats.org/officeDocument/2006/relationships/customXml" Target="../customXml/item1.xml"/><Relationship Id="rId49" Type="http://schemas.openxmlformats.org/officeDocument/2006/relationships/customXml" Target="../customXml/item14.xml"/><Relationship Id="rId57" Type="http://schemas.openxmlformats.org/officeDocument/2006/relationships/customXml" Target="../customXml/item22.xml"/><Relationship Id="rId10" Type="http://schemas.openxmlformats.org/officeDocument/2006/relationships/worksheet" Target="worksheets/sheet10.xml"/><Relationship Id="rId31" Type="http://schemas.openxmlformats.org/officeDocument/2006/relationships/styles" Target="styles.xml"/><Relationship Id="rId44" Type="http://schemas.openxmlformats.org/officeDocument/2006/relationships/customXml" Target="../customXml/item9.xml"/><Relationship Id="rId52" Type="http://schemas.openxmlformats.org/officeDocument/2006/relationships/customXml" Target="../customXml/item17.xml"/><Relationship Id="rId60" Type="http://schemas.openxmlformats.org/officeDocument/2006/relationships/customXml" Target="../customXml/item2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FB2-4EAB-AC1C-F0EA07481462}"/>
              </c:ext>
            </c:extLst>
          </c:dPt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3FB2-4EAB-AC1C-F0EA074814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e-commerce v2.xlsm]DN_Vendedores!Tabela dinâmica4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"R$"\ #,##0.00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4-4652-A193-94E8226409C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96183600"/>
        <c:axId val="291001904"/>
      </c:barChart>
      <c:catAx>
        <c:axId val="19618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1001904"/>
        <c:crosses val="autoZero"/>
        <c:auto val="1"/>
        <c:lblAlgn val="ctr"/>
        <c:lblOffset val="100"/>
        <c:noMultiLvlLbl val="0"/>
      </c:catAx>
      <c:valAx>
        <c:axId val="2910019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19618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e-commerce v2.xlsm]DN_Vendas!Tabela dinâmica21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"R$"\ #,##0.00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97-4892-9CC3-46F62532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23999840"/>
        <c:axId val="324000320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97-4892-9CC3-46F62532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876560"/>
        <c:axId val="323874640"/>
      </c:lineChart>
      <c:catAx>
        <c:axId val="3239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4000320"/>
        <c:crosses val="autoZero"/>
        <c:auto val="1"/>
        <c:lblAlgn val="ctr"/>
        <c:lblOffset val="100"/>
        <c:noMultiLvlLbl val="0"/>
      </c:catAx>
      <c:valAx>
        <c:axId val="3240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999840"/>
        <c:crosses val="autoZero"/>
        <c:crossBetween val="between"/>
      </c:valAx>
      <c:valAx>
        <c:axId val="323874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876560"/>
        <c:crosses val="max"/>
        <c:crossBetween val="between"/>
      </c:valAx>
      <c:catAx>
        <c:axId val="323876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3874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DN_Vendas!$H$4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296-4F03-8984-9234819C8627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296-4F03-8984-9234819C862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96-4F03-8984-9234819C8627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DN_Vendas!$I$4:$J$4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96-4F03-8984-9234819C862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DN_Vendas!$H$6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309-4B01-9C36-BDBC3D2A7EDF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09-4B01-9C36-BDBC3D2A7ED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9-4B01-9C36-BDBC3D2A7EDF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DN_Vendas!$I$6:$J$6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09-4B01-9C36-BDBC3D2A7ED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DN_Vendas!$H$5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46-4488-9A62-282917EC1165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46-4488-9A62-282917EC116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46-4488-9A62-282917EC1165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DN_Vendas!$I$5:$J$5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46-4488-9A62-282917EC116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e-commerce v2.xlsm]DN_VendasHist!Tabela dinâmica2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DN_VendasHist!$B$3</c:f>
              <c:strCache>
                <c:ptCount val="1"/>
                <c:pt idx="0">
                  <c:v>Soma de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DN_VendasHist!$A$4:$A$16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DN_VendasHist!$B$4:$B$16</c:f>
              <c:numCache>
                <c:formatCode>"R$"\ #,##0.00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A6-49DD-83E1-FC2343784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07588383"/>
        <c:axId val="2107585023"/>
      </c:barChart>
      <c:lineChart>
        <c:grouping val="standard"/>
        <c:varyColors val="0"/>
        <c:ser>
          <c:idx val="1"/>
          <c:order val="1"/>
          <c:tx>
            <c:strRef>
              <c:f>DN_VendasHist!$C$3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DN_VendasHist!$A$4:$A$16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DN_VendasHist!$C$4:$C$16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A6-49DD-83E1-FC2343784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19536"/>
        <c:axId val="363720976"/>
      </c:lineChart>
      <c:catAx>
        <c:axId val="2107588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7585023"/>
        <c:crosses val="autoZero"/>
        <c:auto val="1"/>
        <c:lblAlgn val="ctr"/>
        <c:lblOffset val="100"/>
        <c:noMultiLvlLbl val="0"/>
      </c:catAx>
      <c:valAx>
        <c:axId val="210758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7588383"/>
        <c:crosses val="autoZero"/>
        <c:crossBetween val="between"/>
      </c:valAx>
      <c:valAx>
        <c:axId val="363720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3719536"/>
        <c:crosses val="max"/>
        <c:crossBetween val="between"/>
      </c:valAx>
      <c:catAx>
        <c:axId val="363719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3720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DN_VendasHist!$I$4</c:f>
              <c:strCache>
                <c:ptCount val="1"/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4F0-4955-8077-C03D9B165EC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4F0-4955-8077-C03D9B165EC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F0-4955-8077-C03D9B165E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DN_VendasHist!$J$5:$K$5</c:f>
              <c:numCache>
                <c:formatCode>0%;\-0%;0%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F0-4955-8077-C03D9B165EC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DN_VendasHist!$I$5</c:f>
              <c:strCache>
                <c:ptCount val="1"/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066-4764-A769-6DC28D76572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066-4764-A769-6DC28D765723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66-4764-A769-6DC28D7657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DN_VendasHist!$J$6:$K$6</c:f>
              <c:numCache>
                <c:formatCode>0%;\-0%;0%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66-4764-A769-6DC28D76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DN_VendasHist!$I$6</c:f>
              <c:strCache>
                <c:ptCount val="1"/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F60-4663-838F-0A03849FE42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60-4663-838F-0A03849FE42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663-838F-0A03849FE4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DN_VendasHist!$J$7:$K$7</c:f>
              <c:numCache>
                <c:formatCode>0%;\-0%;0%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60-4663-838F-0A03849FE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e-commerce v2.xlsm]DN_VendasHist!Tabela dinâmica1</c:name>
    <c:fmtId val="3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DN_VendasHist!$F$10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DN_VendasHist!$E$11:$E$16</c:f>
              <c:strCache>
                <c:ptCount val="5"/>
                <c:pt idx="0">
                  <c:v>Amanda</c:v>
                </c:pt>
                <c:pt idx="1">
                  <c:v>Bruno</c:v>
                </c:pt>
                <c:pt idx="2">
                  <c:v>Clara</c:v>
                </c:pt>
                <c:pt idx="3">
                  <c:v>João</c:v>
                </c:pt>
                <c:pt idx="4">
                  <c:v>Sarah</c:v>
                </c:pt>
              </c:strCache>
            </c:strRef>
          </c:cat>
          <c:val>
            <c:numRef>
              <c:f>DN_VendasHist!$F$11:$F$16</c:f>
              <c:numCache>
                <c:formatCode>_-[$R$-416]\ * #,##0.00_-;\-[$R$-416]\ * #,##0.00_-;_-[$R$-416]\ * "-"??_-;_-@_-</c:formatCode>
                <c:ptCount val="5"/>
                <c:pt idx="0">
                  <c:v>37864</c:v>
                </c:pt>
                <c:pt idx="1">
                  <c:v>49213.9</c:v>
                </c:pt>
                <c:pt idx="2">
                  <c:v>36204.6</c:v>
                </c:pt>
                <c:pt idx="3">
                  <c:v>36468.6</c:v>
                </c:pt>
                <c:pt idx="4">
                  <c:v>47690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C-40C8-B314-F91BB5915C9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67665583"/>
        <c:axId val="367680943"/>
      </c:barChart>
      <c:catAx>
        <c:axId val="3676655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680943"/>
        <c:crosses val="autoZero"/>
        <c:auto val="1"/>
        <c:lblAlgn val="ctr"/>
        <c:lblOffset val="100"/>
        <c:noMultiLvlLbl val="0"/>
      </c:catAx>
      <c:valAx>
        <c:axId val="36768094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66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image" Target="../media/image3.png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3DE8B45-09AB-055B-1B63-2260FE5D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9D6B59-05D9-B03E-33FF-654DC865E65A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8F6523-8DD6-8EA8-3868-7A382EBABA1C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5DBCBF-1552-7BEE-78FD-FBEFEF801194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DF467C-2EA0-98A2-30B7-FDC407A177D5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D4DE5D6-A5B5-406D-9CE1-F58B167B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16521-3CF2-4B53-B0C2-257D770BDFBA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14EE7B-96E6-4187-9F93-B47D5044F002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AC1AAC-274C-4CCA-A247-AA03B11D181B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2098C0-66DE-4C93-8742-A1DDC837229B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D4363A8-ECD7-4ED2-8B5E-4B8412B66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F0C8CE-E1DD-46B0-9EC1-0DB234C25F94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492B7-9A40-45DF-8DD9-FF4B8AC4B805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189A0F-6039-4D6D-9A86-B4FB82EB1AE6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10B14D-B133-4912-957D-08B56E453DEC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144780</xdr:colOff>
      <xdr:row>0</xdr:row>
      <xdr:rowOff>76200</xdr:rowOff>
    </xdr:from>
    <xdr:to>
      <xdr:col>1</xdr:col>
      <xdr:colOff>530859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412354E-AD1A-4804-A470-15E224356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10</xdr:col>
      <xdr:colOff>400049</xdr:colOff>
      <xdr:row>0</xdr:row>
      <xdr:rowOff>85725</xdr:rowOff>
    </xdr:from>
    <xdr:to>
      <xdr:col>10</xdr:col>
      <xdr:colOff>1137919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701B76-473A-4A55-AF0E-ECBD9BBE384C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9</xdr:col>
      <xdr:colOff>104775</xdr:colOff>
      <xdr:row>0</xdr:row>
      <xdr:rowOff>85725</xdr:rowOff>
    </xdr:from>
    <xdr:to>
      <xdr:col>9</xdr:col>
      <xdr:colOff>1153795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5575B6-61D4-49F3-9180-2CA2D567325C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8</xdr:col>
      <xdr:colOff>661988</xdr:colOff>
      <xdr:row>0</xdr:row>
      <xdr:rowOff>85725</xdr:rowOff>
    </xdr:from>
    <xdr:to>
      <xdr:col>9</xdr:col>
      <xdr:colOff>12383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03579C-CAF6-4B7E-BEF7-4259D9774AFB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1114425</xdr:colOff>
      <xdr:row>0</xdr:row>
      <xdr:rowOff>85725</xdr:rowOff>
    </xdr:from>
    <xdr:to>
      <xdr:col>8</xdr:col>
      <xdr:colOff>569595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EDB1BC-9302-487C-8922-6F0622D6EF3B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456271F-9F53-4B55-9E8A-E9E2FC35B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3</xdr:col>
      <xdr:colOff>1831974</xdr:colOff>
      <xdr:row>0</xdr:row>
      <xdr:rowOff>85725</xdr:rowOff>
    </xdr:from>
    <xdr:to>
      <xdr:col>3</xdr:col>
      <xdr:colOff>2588894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DEB8D7-0FEB-4507-A50B-05B81C09950A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3</xdr:col>
      <xdr:colOff>1163320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6AD2F-D430-4E96-8D94-F654A42B72BD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5C5270-F703-4959-8D9F-71136CD13561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4F05AB9-4EF5-485F-A10E-4B5B41E0590A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158750</xdr:colOff>
          <xdr:row>2</xdr:row>
          <xdr:rowOff>133350</xdr:rowOff>
        </xdr:from>
        <xdr:to>
          <xdr:col>10</xdr:col>
          <xdr:colOff>107950</xdr:colOff>
          <xdr:row>6</xdr:row>
          <xdr:rowOff>25400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EA7978-4266-437F-879D-423B85D16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577B8C-A23D-DB82-E232-44F291604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54</xdr:col>
      <xdr:colOff>97753</xdr:colOff>
      <xdr:row>27</xdr:row>
      <xdr:rowOff>32121</xdr:rowOff>
    </xdr:from>
    <xdr:to>
      <xdr:col>67</xdr:col>
      <xdr:colOff>28914</xdr:colOff>
      <xdr:row>45</xdr:row>
      <xdr:rowOff>74871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26CC0C20-8D6B-9CF3-8A51-0AD2AC6148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26</xdr:row>
      <xdr:rowOff>115955</xdr:rowOff>
    </xdr:from>
    <xdr:to>
      <xdr:col>79</xdr:col>
      <xdr:colOff>132522</xdr:colOff>
      <xdr:row>45</xdr:row>
      <xdr:rowOff>121477</xdr:rowOff>
    </xdr:to>
    <xdr:graphicFrame macro="">
      <xdr:nvGraphicFramePr>
        <xdr:cNvPr id="10" name="Gráfico 1">
          <a:extLst>
            <a:ext uri="{FF2B5EF4-FFF2-40B4-BE49-F238E27FC236}">
              <a16:creationId xmlns:a16="http://schemas.microsoft.com/office/drawing/2014/main" id="{C8950808-AA58-1402-BAE0-5AEE81B353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5522</xdr:colOff>
      <xdr:row>9</xdr:row>
      <xdr:rowOff>110436</xdr:rowOff>
    </xdr:from>
    <xdr:to>
      <xdr:col>79</xdr:col>
      <xdr:colOff>127000</xdr:colOff>
      <xdr:row>23</xdr:row>
      <xdr:rowOff>115958</xdr:rowOff>
    </xdr:to>
    <xdr:graphicFrame macro="">
      <xdr:nvGraphicFramePr>
        <xdr:cNvPr id="11" name="Gráfico 1">
          <a:extLst>
            <a:ext uri="{FF2B5EF4-FFF2-40B4-BE49-F238E27FC236}">
              <a16:creationId xmlns:a16="http://schemas.microsoft.com/office/drawing/2014/main" id="{5ECEE999-36BC-6C98-C946-646A71B74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81</xdr:col>
      <xdr:colOff>11045</xdr:colOff>
      <xdr:row>9</xdr:row>
      <xdr:rowOff>27609</xdr:rowOff>
    </xdr:from>
    <xdr:to>
      <xdr:col>117</xdr:col>
      <xdr:colOff>104913</xdr:colOff>
      <xdr:row>20</xdr:row>
      <xdr:rowOff>115957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Data">
              <a:extLst>
                <a:ext uri="{FF2B5EF4-FFF2-40B4-BE49-F238E27FC236}">
                  <a16:creationId xmlns:a16="http://schemas.microsoft.com/office/drawing/2014/main" id="{41512BA8-CD7D-47E9-A18A-670DC09452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92566" y="1120913"/>
              <a:ext cx="3263347" cy="16399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2</xdr:col>
      <xdr:colOff>5520</xdr:colOff>
      <xdr:row>26</xdr:row>
      <xdr:rowOff>116048</xdr:rowOff>
    </xdr:from>
    <xdr:to>
      <xdr:col>14</xdr:col>
      <xdr:colOff>112998</xdr:colOff>
      <xdr:row>46</xdr:row>
      <xdr:rowOff>5613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25B4303D-BDDA-A3A2-18AB-2F6C7CB704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23061</xdr:colOff>
      <xdr:row>26</xdr:row>
      <xdr:rowOff>116413</xdr:rowOff>
    </xdr:from>
    <xdr:to>
      <xdr:col>39</xdr:col>
      <xdr:colOff>130539</xdr:colOff>
      <xdr:row>46</xdr:row>
      <xdr:rowOff>5248</xdr:rowOff>
    </xdr:to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41F28969-799F-C455-2A21-E19C3837F5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122442</xdr:colOff>
      <xdr:row>26</xdr:row>
      <xdr:rowOff>116413</xdr:rowOff>
    </xdr:from>
    <xdr:to>
      <xdr:col>27</xdr:col>
      <xdr:colOff>91877</xdr:colOff>
      <xdr:row>46</xdr:row>
      <xdr:rowOff>5248</xdr:rowOff>
    </xdr:to>
    <xdr:graphicFrame macro="">
      <xdr:nvGraphicFramePr>
        <xdr:cNvPr id="6" name="Gráfico 6">
          <a:extLst>
            <a:ext uri="{FF2B5EF4-FFF2-40B4-BE49-F238E27FC236}">
              <a16:creationId xmlns:a16="http://schemas.microsoft.com/office/drawing/2014/main" id="{8D16D81F-F79C-3B63-55E3-1C49EC923F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ED16BA2-1B03-4D98-8663-902956102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542924</xdr:colOff>
      <xdr:row>0</xdr:row>
      <xdr:rowOff>85725</xdr:rowOff>
    </xdr:from>
    <xdr:to>
      <xdr:col>11</xdr:col>
      <xdr:colOff>7619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FF9779-93E2-40E2-A948-575F3A1178B9}"/>
            </a:ext>
          </a:extLst>
        </xdr:cNvPr>
        <xdr:cNvSpPr/>
      </xdr:nvSpPr>
      <xdr:spPr>
        <a:xfrm>
          <a:off x="7966074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114300</xdr:colOff>
      <xdr:row>0</xdr:row>
      <xdr:rowOff>85725</xdr:rowOff>
    </xdr:from>
    <xdr:to>
      <xdr:col>8</xdr:col>
      <xdr:colOff>483870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729500-09FA-45E9-AD3D-AA0B274FFD4D}"/>
            </a:ext>
          </a:extLst>
        </xdr:cNvPr>
        <xdr:cNvSpPr/>
      </xdr:nvSpPr>
      <xdr:spPr>
        <a:xfrm>
          <a:off x="6318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5</xdr:col>
      <xdr:colOff>290513</xdr:colOff>
      <xdr:row>0</xdr:row>
      <xdr:rowOff>85725</xdr:rowOff>
    </xdr:from>
    <xdr:to>
      <xdr:col>6</xdr:col>
      <xdr:colOff>564833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5D5595C-E11C-485E-92F3-101E256C2EC0}"/>
            </a:ext>
          </a:extLst>
        </xdr:cNvPr>
        <xdr:cNvSpPr/>
      </xdr:nvSpPr>
      <xdr:spPr>
        <a:xfrm>
          <a:off x="51800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996950</xdr:colOff>
      <xdr:row>0</xdr:row>
      <xdr:rowOff>85725</xdr:rowOff>
    </xdr:from>
    <xdr:to>
      <xdr:col>5</xdr:col>
      <xdr:colOff>198120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AEF43A-011A-4019-B9CD-2D1DD1E620BA}"/>
            </a:ext>
          </a:extLst>
        </xdr:cNvPr>
        <xdr:cNvSpPr/>
      </xdr:nvSpPr>
      <xdr:spPr>
        <a:xfrm>
          <a:off x="4032250" y="85725"/>
          <a:ext cx="10553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468629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C84CC9C-380E-4F37-A8B9-10AC86FFA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441324</xdr:colOff>
      <xdr:row>0</xdr:row>
      <xdr:rowOff>85725</xdr:rowOff>
    </xdr:from>
    <xdr:to>
      <xdr:col>10</xdr:col>
      <xdr:colOff>515619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E8A9714-ECF2-4A5B-A3E5-944D7BECBC6A}"/>
            </a:ext>
          </a:extLst>
        </xdr:cNvPr>
        <xdr:cNvSpPr/>
      </xdr:nvSpPr>
      <xdr:spPr>
        <a:xfrm>
          <a:off x="7966074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6350</xdr:colOff>
      <xdr:row>0</xdr:row>
      <xdr:rowOff>85725</xdr:rowOff>
    </xdr:from>
    <xdr:to>
      <xdr:col>8</xdr:col>
      <xdr:colOff>382270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28727E-02A6-42EB-BA5A-711A6A544C19}"/>
            </a:ext>
          </a:extLst>
        </xdr:cNvPr>
        <xdr:cNvSpPr/>
      </xdr:nvSpPr>
      <xdr:spPr>
        <a:xfrm>
          <a:off x="6318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5</xdr:col>
      <xdr:colOff>188913</xdr:colOff>
      <xdr:row>0</xdr:row>
      <xdr:rowOff>85725</xdr:rowOff>
    </xdr:from>
    <xdr:to>
      <xdr:col>6</xdr:col>
      <xdr:colOff>456883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E7DADB0-9EF8-4543-B624-C1E09E5A91CE}"/>
            </a:ext>
          </a:extLst>
        </xdr:cNvPr>
        <xdr:cNvSpPr/>
      </xdr:nvSpPr>
      <xdr:spPr>
        <a:xfrm>
          <a:off x="51800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996950</xdr:colOff>
      <xdr:row>0</xdr:row>
      <xdr:rowOff>85725</xdr:rowOff>
    </xdr:from>
    <xdr:to>
      <xdr:col>5</xdr:col>
      <xdr:colOff>96520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6ACB554-CCFC-4A34-B878-581DC313B89F}"/>
            </a:ext>
          </a:extLst>
        </xdr:cNvPr>
        <xdr:cNvSpPr/>
      </xdr:nvSpPr>
      <xdr:spPr>
        <a:xfrm>
          <a:off x="4032250" y="85725"/>
          <a:ext cx="10553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0</xdr:row>
      <xdr:rowOff>1</xdr:rowOff>
    </xdr:from>
    <xdr:to>
      <xdr:col>5</xdr:col>
      <xdr:colOff>1257300</xdr:colOff>
      <xdr:row>0</xdr:row>
      <xdr:rowOff>844550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tegoria 1">
              <a:extLst>
                <a:ext uri="{FF2B5EF4-FFF2-40B4-BE49-F238E27FC236}">
                  <a16:creationId xmlns:a16="http://schemas.microsoft.com/office/drawing/2014/main" id="{F45DB477-ED59-75EE-B69B-71C2068680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" y="1"/>
              <a:ext cx="8851900" cy="8445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DDF0625-FB24-45E6-95DD-958DC290D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1301"/>
          <a:ext cx="3082925" cy="411939"/>
        </a:xfrm>
        <a:prstGeom prst="rect">
          <a:avLst/>
        </a:prstGeom>
      </xdr:spPr>
    </xdr:pic>
    <xdr:clientData/>
  </xdr:twoCellAnchor>
  <xdr:twoCellAnchor>
    <xdr:from>
      <xdr:col>54</xdr:col>
      <xdr:colOff>97753</xdr:colOff>
      <xdr:row>31</xdr:row>
      <xdr:rowOff>32121</xdr:rowOff>
    </xdr:from>
    <xdr:to>
      <xdr:col>67</xdr:col>
      <xdr:colOff>28914</xdr:colOff>
      <xdr:row>49</xdr:row>
      <xdr:rowOff>74871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0761639A-BF59-4E13-B42E-AC365E641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132521</xdr:colOff>
      <xdr:row>14</xdr:row>
      <xdr:rowOff>5521</xdr:rowOff>
    </xdr:from>
    <xdr:to>
      <xdr:col>79</xdr:col>
      <xdr:colOff>138042</xdr:colOff>
      <xdr:row>27</xdr:row>
      <xdr:rowOff>115956</xdr:rowOff>
    </xdr:to>
    <xdr:graphicFrame macro="">
      <xdr:nvGraphicFramePr>
        <xdr:cNvPr id="10" name="Gráfico 2">
          <a:extLst>
            <a:ext uri="{FF2B5EF4-FFF2-40B4-BE49-F238E27FC236}">
              <a16:creationId xmlns:a16="http://schemas.microsoft.com/office/drawing/2014/main" id="{D3E2FB70-FA1C-3C8E-AF16-7DAC25C7C8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22</xdr:col>
      <xdr:colOff>38651</xdr:colOff>
      <xdr:row>0</xdr:row>
      <xdr:rowOff>115957</xdr:rowOff>
    </xdr:from>
    <xdr:to>
      <xdr:col>94</xdr:col>
      <xdr:colOff>127001</xdr:colOff>
      <xdr:row>10</xdr:row>
      <xdr:rowOff>88348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Data 1">
              <a:extLst>
                <a:ext uri="{FF2B5EF4-FFF2-40B4-BE49-F238E27FC236}">
                  <a16:creationId xmlns:a16="http://schemas.microsoft.com/office/drawing/2014/main" id="{500DC60B-9719-4259-B92E-5FC8FAD05A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75608" y="115957"/>
              <a:ext cx="10027480" cy="11871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1</xdr:col>
      <xdr:colOff>133211</xdr:colOff>
      <xdr:row>31</xdr:row>
      <xdr:rowOff>6487</xdr:rowOff>
    </xdr:from>
    <xdr:to>
      <xdr:col>14</xdr:col>
      <xdr:colOff>102645</xdr:colOff>
      <xdr:row>50</xdr:row>
      <xdr:rowOff>0</xdr:rowOff>
    </xdr:to>
    <xdr:graphicFrame macro="">
      <xdr:nvGraphicFramePr>
        <xdr:cNvPr id="16" name="Gráfico 4">
          <a:extLst>
            <a:ext uri="{FF2B5EF4-FFF2-40B4-BE49-F238E27FC236}">
              <a16:creationId xmlns:a16="http://schemas.microsoft.com/office/drawing/2014/main" id="{AC4ACEFF-B0C7-2C8E-6BE6-287659636F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103270</xdr:colOff>
      <xdr:row>31</xdr:row>
      <xdr:rowOff>6487</xdr:rowOff>
    </xdr:from>
    <xdr:to>
      <xdr:col>27</xdr:col>
      <xdr:colOff>72705</xdr:colOff>
      <xdr:row>49</xdr:row>
      <xdr:rowOff>120278</xdr:rowOff>
    </xdr:to>
    <xdr:graphicFrame macro="">
      <xdr:nvGraphicFramePr>
        <xdr:cNvPr id="17" name="Gráfico 5">
          <a:extLst>
            <a:ext uri="{FF2B5EF4-FFF2-40B4-BE49-F238E27FC236}">
              <a16:creationId xmlns:a16="http://schemas.microsoft.com/office/drawing/2014/main" id="{B04F9921-3F21-0DC7-72C7-DDE0771FC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29158</xdr:colOff>
      <xdr:row>31</xdr:row>
      <xdr:rowOff>6487</xdr:rowOff>
    </xdr:from>
    <xdr:to>
      <xdr:col>39</xdr:col>
      <xdr:colOff>136636</xdr:colOff>
      <xdr:row>49</xdr:row>
      <xdr:rowOff>120278</xdr:rowOff>
    </xdr:to>
    <xdr:graphicFrame macro="">
      <xdr:nvGraphicFramePr>
        <xdr:cNvPr id="18" name="Gráfico 6">
          <a:extLst>
            <a:ext uri="{FF2B5EF4-FFF2-40B4-BE49-F238E27FC236}">
              <a16:creationId xmlns:a16="http://schemas.microsoft.com/office/drawing/2014/main" id="{4E977674-A4D8-F3BA-668C-C9744BFCA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84</xdr:col>
          <xdr:colOff>0</xdr:colOff>
          <xdr:row>14</xdr:row>
          <xdr:rowOff>107950</xdr:rowOff>
        </xdr:from>
        <xdr:to>
          <xdr:col>94</xdr:col>
          <xdr:colOff>19050</xdr:colOff>
          <xdr:row>20</xdr:row>
          <xdr:rowOff>63500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F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Tabela de Origem</a:t>
              </a:r>
            </a:p>
          </xdr:txBody>
        </xdr:sp>
        <xdr:clientData fPrintsWithSheet="0"/>
      </xdr:twoCellAnchor>
    </mc:Choice>
    <mc:Fallback/>
  </mc:AlternateContent>
  <xdr:twoCellAnchor>
    <xdr:from>
      <xdr:col>42</xdr:col>
      <xdr:colOff>5522</xdr:colOff>
      <xdr:row>31</xdr:row>
      <xdr:rowOff>5522</xdr:rowOff>
    </xdr:from>
    <xdr:to>
      <xdr:col>79</xdr:col>
      <xdr:colOff>127000</xdr:colOff>
      <xdr:row>49</xdr:row>
      <xdr:rowOff>110435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1CA702DD-B91E-7AB2-0BE6-D4FDDEEA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84</xdr:col>
          <xdr:colOff>12700</xdr:colOff>
          <xdr:row>21</xdr:row>
          <xdr:rowOff>0</xdr:rowOff>
        </xdr:from>
        <xdr:to>
          <xdr:col>94</xdr:col>
          <xdr:colOff>25400</xdr:colOff>
          <xdr:row>26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F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Tabela Dinâmica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" refreshedDate="45702.614894907405" backgroundQuery="1" createdVersion="8" refreshedVersion="8" minRefreshableVersion="3" recordCount="0" supportSubquery="1" supportAdvancedDrill="1" xr:uid="{C3022B8E-E56F-443F-80DC-0D343DD01E56}">
  <cacheSource type="external" connectionId="2"/>
  <cacheFields count="2">
    <cacheField name="[TB_Vendedores].[Vendedor].[Vendedor]" caption="Vendedor" numFmtId="0" hierarchy="30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6" level="32767"/>
  </cacheFields>
  <cacheHierarchies count="55"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Desconto Calculado]" caption="Desconto Calculado" attribute="1" defaultMemberUniqueName="[TB_Vendas].[Desconto Calculado].[All]" allUniqueName="[TB_Vendas].[Desconto Calculado].[All]" dimensionUniqueName="[TB_Vendas]" displayFolder="" count="0" memberValueDatatype="5" unbalanced="0"/>
    <cacheHierarchy uniqueName="[TB_Vendas].[Desc. Vendedor]" caption="Desc. Vendedor" attribute="1" defaultMemberUniqueName="[TB_Vendas].[Desc. Vendedor].[All]" allUniqueName="[TB_Vendas].[Desc. Vendedor].[All]" dimensionUniqueName="[TB_Vendas]" displayFolder="" count="0" memberValueDatatype="5" unbalanced="0"/>
    <cacheHierarchy uniqueName="[TB_Vendas].[Desconto]" caption="Desconto" attribute="1" defaultMemberUniqueName="[TB_Vendas].[Desconto].[All]" allUniqueName="[TB_Vendas].[Desconto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Hist].[Data]" caption="Data" attribute="1" time="1" defaultMemberUniqueName="[TB_VendasHist].[Data].[All]" allUniqueName="[TB_VendasHist].[Data].[All]" dimensionUniqueName="[TB_VendasHist]" displayFolder="" count="0" memberValueDatatype="7" unbalanced="0"/>
    <cacheHierarchy uniqueName="[TB_VendasHist].[Código]" caption="Código" attribute="1" defaultMemberUniqueName="[TB_VendasHist].[Código].[All]" allUniqueName="[TB_VendasHist].[Código].[All]" dimensionUniqueName="[TB_VendasHist]" displayFolder="" count="0" memberValueDatatype="130" unbalanced="0"/>
    <cacheHierarchy uniqueName="[TB_VendasHist].[Categoria]" caption="Categoria" attribute="1" defaultMemberUniqueName="[TB_VendasHist].[Categoria].[All]" allUniqueName="[TB_VendasHist].[Categoria].[All]" dimensionUniqueName="[TB_VendasHist]" displayFolder="" count="0" memberValueDatatype="130" unbalanced="0"/>
    <cacheHierarchy uniqueName="[TB_VendasHist].[Qtd]" caption="Qtd" attribute="1" defaultMemberUniqueName="[TB_VendasHist].[Qtd].[All]" allUniqueName="[TB_VendasHist].[Qtd].[All]" dimensionUniqueName="[TB_VendasHist]" displayFolder="" count="0" memberValueDatatype="20" unbalanced="0"/>
    <cacheHierarchy uniqueName="[TB_VendasHist].[Preço Unitário]" caption="Preço Unitário" attribute="1" defaultMemberUniqueName="[TB_VendasHist].[Preço Unitário].[All]" allUniqueName="[TB_VendasHist].[Preço Unitário].[All]" dimensionUniqueName="[TB_VendasHist]" displayFolder="" count="0" memberValueDatatype="5" unbalanced="0"/>
    <cacheHierarchy uniqueName="[TB_VendasHist].[Desconto Final]" caption="Desconto Final" attribute="1" defaultMemberUniqueName="[TB_VendasHist].[Desconto Final].[All]" allUniqueName="[TB_VendasHist].[Desconto Final].[All]" dimensionUniqueName="[TB_VendasHist]" displayFolder="" count="0" memberValueDatatype="5" unbalanced="0"/>
    <cacheHierarchy uniqueName="[TB_VendasHist].[Total]" caption="Total" attribute="1" defaultMemberUniqueName="[TB_VendasHist].[Total].[All]" allUniqueName="[TB_VendasHist].[Total].[All]" dimensionUniqueName="[TB_VendasHist]" displayFolder="" count="0" memberValueDatatype="5" unbalanced="0"/>
    <cacheHierarchy uniqueName="[TB_VendasHist].[Vendedor]" caption="Vendedor" attribute="1" defaultMemberUniqueName="[TB_VendasHist].[Vendedor].[All]" allUniqueName="[TB_VendasHist].[Vendedor].[All]" dimensionUniqueName="[TB_VendasHist]" displayFolder="" count="0" memberValueDatatype="130" unbalanced="0"/>
    <cacheHierarchy uniqueName="[TB_VendasHist].[Data (Ano)]" caption="Data (Ano)" attribute="1" defaultMemberUniqueName="[TB_VendasHist].[Data (Ano)].[All]" allUniqueName="[TB_VendasHist].[Data (Ano)].[All]" dimensionUniqueName="[TB_VendasHist]" displayFolder="" count="0" memberValueDatatype="130" unbalanced="0"/>
    <cacheHierarchy uniqueName="[TB_VendasHist].[Data (Trimestre)]" caption="Data (Trimestre)" attribute="1" defaultMemberUniqueName="[TB_VendasHist].[Data (Trimestre)].[All]" allUniqueName="[TB_VendasHist].[Data (Trimestre)].[All]" dimensionUniqueName="[TB_VendasHist]" displayFolder="" count="0" memberValueDatatype="130" unbalanced="0"/>
    <cacheHierarchy uniqueName="[TB_VendasHist].[Data (Mês)]" caption="Data (Mês)" attribute="1" defaultMemberUniqueName="[TB_VendasHist].[Data (Mês)].[All]" allUniqueName="[TB_VendasHist].[Data (Mês)].[All]" dimensionUniqueName="[TB_VendasHist]" displayFolder="" count="0" memberValueDatatype="130" unbalanced="0"/>
    <cacheHierarchy uniqueName="[TB_Vendedores].[Código]" caption="Código" attribute="1" defaultMemberUniqueName="[TB_Vendedores].[Código].[All]" allUniqueName="[TB_Vendedores].[Código].[All]" dimensionUniqueName="[TB_Vendedores]" displayFolder="" count="0" memberValueDatatype="130" unbalanced="0"/>
    <cacheHierarchy uniqueName="[TB_Vendedores].[Vendedor]" caption="Vendedor" attribute="1" defaultMemberUniqueName="[TB_Vendedores].[Vendedor].[All]" allUniqueName="[TB_Vendedores].[Vendedor].[All]" dimensionUniqueName="[TB_Vendedores]" displayFolder="" count="2" memberValueDatatype="130" unbalanced="0">
      <fieldsUsage count="2">
        <fieldUsage x="-1"/>
        <fieldUsage x="0"/>
      </fieldsUsage>
    </cacheHierarchy>
    <cacheHierarchy uniqueName="[TB_Vendedores].[Cidade]" caption="Cidade" attribute="1" defaultMemberUniqueName="[TB_Vendedores].[Cidade].[All]" allUniqueName="[TB_Vendedores].[Cidade].[All]" dimensionUniqueName="[TB_Vendedores]" displayFolder="" count="0" memberValueDatatype="130" unbalanced="0"/>
    <cacheHierarchy uniqueName="[TB_Vendedores].[Desc. Máximo]" caption="Desc. Máximo" attribute="1" defaultMemberUniqueName="[TB_Vendedores].[Desc. Máximo].[All]" allUniqueName="[TB_Vendedores].[Desc. Máximo].[All]" dimensionUniqueName="[TB_Vendedores]" displayFolder="" count="0" memberValueDatatype="5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Hist].[Data (Índice de Mês)]" caption="Data (Índice de Mês)" attribute="1" defaultMemberUniqueName="[TB_VendasHist].[Data (Índice de Mês)].[All]" allUniqueName="[TB_VendasHist].[Data (Índice de Mês)].[All]" dimensionUniqueName="[TB_Vendas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Qtd 2]" caption="Soma de Qtd 2" measure="1" displayFolder="" measureGroup="TB_VendasHist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Desconto Final]" caption="Soma de Desconto Final" measure="1" displayFolder="" measureGroup="TB_VendasHist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Preço Unitário 2]" caption="Soma de Preço Unitário 2" measure="1" displayFolder="" measureGroup="TB_VendasHi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Total 2]" caption="Soma de Total 2" measure="1" displayFolder="" measureGroup="TB_VendasHist" count="0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Vendas]" caption="% Vendas" measure="1" displayFolder="" measureGroup="TB_Vendas" count="0"/>
    <cacheHierarchy uniqueName="[Measures].[% Restante]" caption="% Restante" measure="1" displayFolder="" measureGroup="TB_Vendas" count="0"/>
    <cacheHierarchy uniqueName="[Measures].[Soma das Vendas]" caption="Soma das Vendas" measure="1" displayFolder="" measureGroup="TB_VendasHist" count="0"/>
    <cacheHierarchy uniqueName="[Measures].[Vendas Totais2]" caption="Vendas Totais2" measure="1" displayFolder="" measureGroup="TB_VendasHist" count="0"/>
    <cacheHierarchy uniqueName="[Measures].[% de Vendas2]" caption="% de Vendas2" measure="1" displayFolder="" measureGroup="TB_VendasHist" count="0"/>
    <cacheHierarchy uniqueName="[Measures].[% Restante2]" caption="% Restante2" measure="1" displayFolder="" measureGroup="TB_Vendas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TB_Vendedores]" caption="__XL_Count TB_Vendedores" measure="1" displayFolder="" measureGroup="TB_Vendedores" count="0" hidden="1"/>
    <cacheHierarchy uniqueName="[Measures].[__XL_Count TB_VendasHist]" caption="__XL_Count TB_VendasHist" measure="1" displayFolder="" measureGroup="TB_VendasHist" count="0" hidden="1"/>
    <cacheHierarchy uniqueName="[Measures].[__No measures defined]" caption="__No measures defined" measure="1" displayFolder="" count="0" hidden="1"/>
  </cacheHierarchies>
  <kpis count="0"/>
  <dimensions count="5"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Hist" uniqueName="[TB_VendasHist]" caption="TB_VendasHist"/>
    <dimension name="TB_Vendedores" uniqueName="[TB_Vendedores]" caption="TB_Vendedores"/>
  </dimensions>
  <measureGroups count="4">
    <measureGroup name="TB_Produtos" caption="TB_Produtos"/>
    <measureGroup name="TB_Vendas" caption="TB_Vendas"/>
    <measureGroup name="TB_VendasHist" caption="TB_VendasHist"/>
    <measureGroup name="TB_Vendedores" caption="TB_Vendedores"/>
  </measureGroups>
  <maps count="8">
    <map measureGroup="0" dimension="1"/>
    <map measureGroup="1" dimension="1"/>
    <map measureGroup="1" dimension="2"/>
    <map measureGroup="1" dimension="4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" refreshedDate="45702.614896527775" backgroundQuery="1" createdVersion="8" refreshedVersion="8" minRefreshableVersion="3" recordCount="0" supportSubquery="1" supportAdvancedDrill="1" xr:uid="{09921E3C-34EC-448F-B974-CF42820855F9}">
  <cacheSource type="external" connectionId="2"/>
  <cacheFields count="3">
    <cacheField name="[TB_Vendas].[Data (Mês)].[Data (Mês)]" caption="Data (Mês)" numFmtId="0" hierarchy="17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Total]" caption="Soma de Total" numFmtId="0" hierarchy="36" level="32767"/>
    <cacheField name="[Measures].[Soma de Qtd]" caption="Soma de Qtd" numFmtId="0" hierarchy="35" level="32767"/>
  </cacheFields>
  <cacheHierarchies count="55"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Desconto Calculado]" caption="Desconto Calculado" attribute="1" defaultMemberUniqueName="[TB_Vendas].[Desconto Calculado].[All]" allUniqueName="[TB_Vendas].[Desconto Calculado].[All]" dimensionUniqueName="[TB_Vendas]" displayFolder="" count="0" memberValueDatatype="5" unbalanced="0"/>
    <cacheHierarchy uniqueName="[TB_Vendas].[Desc. Vendedor]" caption="Desc. Vendedor" attribute="1" defaultMemberUniqueName="[TB_Vendas].[Desc. Vendedor].[All]" allUniqueName="[TB_Vendas].[Desc. Vendedor].[All]" dimensionUniqueName="[TB_Vendas]" displayFolder="" count="0" memberValueDatatype="5" unbalanced="0"/>
    <cacheHierarchy uniqueName="[TB_Vendas].[Desconto]" caption="Desconto" attribute="1" defaultMemberUniqueName="[TB_Vendas].[Desconto].[All]" allUniqueName="[TB_Vendas].[Desconto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Hist].[Data]" caption="Data" attribute="1" time="1" defaultMemberUniqueName="[TB_VendasHist].[Data].[All]" allUniqueName="[TB_VendasHist].[Data].[All]" dimensionUniqueName="[TB_VendasHist]" displayFolder="" count="0" memberValueDatatype="7" unbalanced="0"/>
    <cacheHierarchy uniqueName="[TB_VendasHist].[Código]" caption="Código" attribute="1" defaultMemberUniqueName="[TB_VendasHist].[Código].[All]" allUniqueName="[TB_VendasHist].[Código].[All]" dimensionUniqueName="[TB_VendasHist]" displayFolder="" count="0" memberValueDatatype="130" unbalanced="0"/>
    <cacheHierarchy uniqueName="[TB_VendasHist].[Categoria]" caption="Categoria" attribute="1" defaultMemberUniqueName="[TB_VendasHist].[Categoria].[All]" allUniqueName="[TB_VendasHist].[Categoria].[All]" dimensionUniqueName="[TB_VendasHist]" displayFolder="" count="0" memberValueDatatype="130" unbalanced="0"/>
    <cacheHierarchy uniqueName="[TB_VendasHist].[Qtd]" caption="Qtd" attribute="1" defaultMemberUniqueName="[TB_VendasHist].[Qtd].[All]" allUniqueName="[TB_VendasHist].[Qtd].[All]" dimensionUniqueName="[TB_VendasHist]" displayFolder="" count="0" memberValueDatatype="20" unbalanced="0"/>
    <cacheHierarchy uniqueName="[TB_VendasHist].[Preço Unitário]" caption="Preço Unitário" attribute="1" defaultMemberUniqueName="[TB_VendasHist].[Preço Unitário].[All]" allUniqueName="[TB_VendasHist].[Preço Unitário].[All]" dimensionUniqueName="[TB_VendasHist]" displayFolder="" count="0" memberValueDatatype="5" unbalanced="0"/>
    <cacheHierarchy uniqueName="[TB_VendasHist].[Desconto Final]" caption="Desconto Final" attribute="1" defaultMemberUniqueName="[TB_VendasHist].[Desconto Final].[All]" allUniqueName="[TB_VendasHist].[Desconto Final].[All]" dimensionUniqueName="[TB_VendasHist]" displayFolder="" count="0" memberValueDatatype="5" unbalanced="0"/>
    <cacheHierarchy uniqueName="[TB_VendasHist].[Total]" caption="Total" attribute="1" defaultMemberUniqueName="[TB_VendasHist].[Total].[All]" allUniqueName="[TB_VendasHist].[Total].[All]" dimensionUniqueName="[TB_VendasHist]" displayFolder="" count="0" memberValueDatatype="5" unbalanced="0"/>
    <cacheHierarchy uniqueName="[TB_VendasHist].[Vendedor]" caption="Vendedor" attribute="1" defaultMemberUniqueName="[TB_VendasHist].[Vendedor].[All]" allUniqueName="[TB_VendasHist].[Vendedor].[All]" dimensionUniqueName="[TB_VendasHist]" displayFolder="" count="0" memberValueDatatype="130" unbalanced="0"/>
    <cacheHierarchy uniqueName="[TB_VendasHist].[Data (Ano)]" caption="Data (Ano)" attribute="1" defaultMemberUniqueName="[TB_VendasHist].[Data (Ano)].[All]" allUniqueName="[TB_VendasHist].[Data (Ano)].[All]" dimensionUniqueName="[TB_VendasHist]" displayFolder="" count="0" memberValueDatatype="130" unbalanced="0"/>
    <cacheHierarchy uniqueName="[TB_VendasHist].[Data (Trimestre)]" caption="Data (Trimestre)" attribute="1" defaultMemberUniqueName="[TB_VendasHist].[Data (Trimestre)].[All]" allUniqueName="[TB_VendasHist].[Data (Trimestre)].[All]" dimensionUniqueName="[TB_VendasHist]" displayFolder="" count="0" memberValueDatatype="130" unbalanced="0"/>
    <cacheHierarchy uniqueName="[TB_VendasHist].[Data (Mês)]" caption="Data (Mês)" attribute="1" defaultMemberUniqueName="[TB_VendasHist].[Data (Mês)].[All]" allUniqueName="[TB_VendasHist].[Data (Mês)].[All]" dimensionUniqueName="[TB_VendasHist]" displayFolder="" count="0" memberValueDatatype="130" unbalanced="0"/>
    <cacheHierarchy uniqueName="[TB_Vendedores].[Código]" caption="Código" attribute="1" defaultMemberUniqueName="[TB_Vendedores].[Código].[All]" allUniqueName="[TB_Vendedores].[Código].[All]" dimensionUniqueName="[TB_Vendedores]" displayFolder="" count="0" memberValueDatatype="130" unbalanced="0"/>
    <cacheHierarchy uniqueName="[TB_Vendedores].[Vendedor]" caption="Vendedor" attribute="1" defaultMemberUniqueName="[TB_Vendedores].[Vendedor].[All]" allUniqueName="[TB_Vendedores].[Vendedor].[All]" dimensionUniqueName="[TB_Vendedores]" displayFolder="" count="0" memberValueDatatype="130" unbalanced="0"/>
    <cacheHierarchy uniqueName="[TB_Vendedores].[Cidade]" caption="Cidade" attribute="1" defaultMemberUniqueName="[TB_Vendedores].[Cidade].[All]" allUniqueName="[TB_Vendedores].[Cidade].[All]" dimensionUniqueName="[TB_Vendedores]" displayFolder="" count="0" memberValueDatatype="130" unbalanced="0"/>
    <cacheHierarchy uniqueName="[TB_Vendedores].[Desc. Máximo]" caption="Desc. Máximo" attribute="1" defaultMemberUniqueName="[TB_Vendedores].[Desc. Máximo].[All]" allUniqueName="[TB_Vendedores].[Desc. Máximo].[All]" dimensionUniqueName="[TB_Vendedores]" displayFolder="" count="0" memberValueDatatype="5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Hist].[Data (Índice de Mês)]" caption="Data (Índice de Mês)" attribute="1" defaultMemberUniqueName="[TB_VendasHist].[Data (Índice de Mês)].[All]" allUniqueName="[TB_VendasHist].[Data (Índice de Mês)].[All]" dimensionUniqueName="[TB_Vendas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Qtd 2]" caption="Soma de Qtd 2" measure="1" displayFolder="" measureGroup="TB_VendasHist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Desconto Final]" caption="Soma de Desconto Final" measure="1" displayFolder="" measureGroup="TB_VendasHist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Preço Unitário 2]" caption="Soma de Preço Unitário 2" measure="1" displayFolder="" measureGroup="TB_VendasHi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Total 2]" caption="Soma de Total 2" measure="1" displayFolder="" measureGroup="TB_VendasHist" count="0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Vendas]" caption="% Vendas" measure="1" displayFolder="" measureGroup="TB_Vendas" count="0"/>
    <cacheHierarchy uniqueName="[Measures].[% Restante]" caption="% Restante" measure="1" displayFolder="" measureGroup="TB_Vendas" count="0"/>
    <cacheHierarchy uniqueName="[Measures].[Soma das Vendas]" caption="Soma das Vendas" measure="1" displayFolder="" measureGroup="TB_VendasHist" count="0"/>
    <cacheHierarchy uniqueName="[Measures].[Vendas Totais2]" caption="Vendas Totais2" measure="1" displayFolder="" measureGroup="TB_VendasHist" count="0"/>
    <cacheHierarchy uniqueName="[Measures].[% de Vendas2]" caption="% de Vendas2" measure="1" displayFolder="" measureGroup="TB_VendasHist" count="0"/>
    <cacheHierarchy uniqueName="[Measures].[% Restante2]" caption="% Restante2" measure="1" displayFolder="" measureGroup="TB_Vendas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TB_Vendedores]" caption="__XL_Count TB_Vendedores" measure="1" displayFolder="" measureGroup="TB_Vendedores" count="0" hidden="1"/>
    <cacheHierarchy uniqueName="[Measures].[__XL_Count TB_VendasHist]" caption="__XL_Count TB_VendasHist" measure="1" displayFolder="" measureGroup="TB_VendasHist" count="0" hidden="1"/>
    <cacheHierarchy uniqueName="[Measures].[__No measures defined]" caption="__No measures defined" measure="1" displayFolder="" count="0" hidden="1"/>
  </cacheHierarchies>
  <kpis count="0"/>
  <dimensions count="5"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Hist" uniqueName="[TB_VendasHist]" caption="TB_VendasHist"/>
    <dimension name="TB_Vendedores" uniqueName="[TB_Vendedores]" caption="TB_Vendedores"/>
  </dimensions>
  <measureGroups count="4">
    <measureGroup name="TB_Produtos" caption="TB_Produtos"/>
    <measureGroup name="TB_Vendas" caption="TB_Vendas"/>
    <measureGroup name="TB_VendasHist" caption="TB_VendasHist"/>
    <measureGroup name="TB_Vendedores" caption="TB_Vendedores"/>
  </measureGroups>
  <maps count="8">
    <map measureGroup="0" dimension="1"/>
    <map measureGroup="1" dimension="1"/>
    <map measureGroup="1" dimension="2"/>
    <map measureGroup="1" dimension="4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" refreshedDate="45702.61489733796" backgroundQuery="1" createdVersion="8" refreshedVersion="8" minRefreshableVersion="3" recordCount="0" supportSubquery="1" supportAdvancedDrill="1" xr:uid="{4F0E09F4-3D47-4FCC-B38C-36A794415B50}">
  <cacheSource type="external" connectionId="2"/>
  <cacheFields count="3">
    <cacheField name="[TB_Produtos].[Categoria].[Categoria]" caption="Categoria" numFmtId="0" hierarchy="3" level="1">
      <sharedItems count="3">
        <s v="Acessórios"/>
        <s v="Calçado"/>
        <s v="Vestuário"/>
      </sharedItems>
    </cacheField>
    <cacheField name="[Measures].[% Vendas]" caption="% Vendas" numFmtId="0" hierarchy="44" level="32767"/>
    <cacheField name="[Measures].[% Restante]" caption="% Restante" numFmtId="0" hierarchy="45" level="32767"/>
  </cacheFields>
  <cacheHierarchies count="55"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2" memberValueDatatype="130" unbalanced="0">
      <fieldsUsage count="2">
        <fieldUsage x="-1"/>
        <fieldUsage x="0"/>
      </fieldsUsage>
    </cacheHierarchy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Desconto Calculado]" caption="Desconto Calculado" attribute="1" defaultMemberUniqueName="[TB_Vendas].[Desconto Calculado].[All]" allUniqueName="[TB_Vendas].[Desconto Calculado].[All]" dimensionUniqueName="[TB_Vendas]" displayFolder="" count="0" memberValueDatatype="5" unbalanced="0"/>
    <cacheHierarchy uniqueName="[TB_Vendas].[Desc. Vendedor]" caption="Desc. Vendedor" attribute="1" defaultMemberUniqueName="[TB_Vendas].[Desc. Vendedor].[All]" allUniqueName="[TB_Vendas].[Desc. Vendedor].[All]" dimensionUniqueName="[TB_Vendas]" displayFolder="" count="0" memberValueDatatype="5" unbalanced="0"/>
    <cacheHierarchy uniqueName="[TB_Vendas].[Desconto]" caption="Desconto" attribute="1" defaultMemberUniqueName="[TB_Vendas].[Desconto].[All]" allUniqueName="[TB_Vendas].[Desconto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Hist].[Data]" caption="Data" attribute="1" time="1" defaultMemberUniqueName="[TB_VendasHist].[Data].[All]" allUniqueName="[TB_VendasHist].[Data].[All]" dimensionUniqueName="[TB_VendasHist]" displayFolder="" count="0" memberValueDatatype="7" unbalanced="0"/>
    <cacheHierarchy uniqueName="[TB_VendasHist].[Código]" caption="Código" attribute="1" defaultMemberUniqueName="[TB_VendasHist].[Código].[All]" allUniqueName="[TB_VendasHist].[Código].[All]" dimensionUniqueName="[TB_VendasHist]" displayFolder="" count="0" memberValueDatatype="130" unbalanced="0"/>
    <cacheHierarchy uniqueName="[TB_VendasHist].[Categoria]" caption="Categoria" attribute="1" defaultMemberUniqueName="[TB_VendasHist].[Categoria].[All]" allUniqueName="[TB_VendasHist].[Categoria].[All]" dimensionUniqueName="[TB_VendasHist]" displayFolder="" count="0" memberValueDatatype="130" unbalanced="0"/>
    <cacheHierarchy uniqueName="[TB_VendasHist].[Qtd]" caption="Qtd" attribute="1" defaultMemberUniqueName="[TB_VendasHist].[Qtd].[All]" allUniqueName="[TB_VendasHist].[Qtd].[All]" dimensionUniqueName="[TB_VendasHist]" displayFolder="" count="0" memberValueDatatype="20" unbalanced="0"/>
    <cacheHierarchy uniqueName="[TB_VendasHist].[Preço Unitário]" caption="Preço Unitário" attribute="1" defaultMemberUniqueName="[TB_VendasHist].[Preço Unitário].[All]" allUniqueName="[TB_VendasHist].[Preço Unitário].[All]" dimensionUniqueName="[TB_VendasHist]" displayFolder="" count="0" memberValueDatatype="5" unbalanced="0"/>
    <cacheHierarchy uniqueName="[TB_VendasHist].[Desconto Final]" caption="Desconto Final" attribute="1" defaultMemberUniqueName="[TB_VendasHist].[Desconto Final].[All]" allUniqueName="[TB_VendasHist].[Desconto Final].[All]" dimensionUniqueName="[TB_VendasHist]" displayFolder="" count="0" memberValueDatatype="5" unbalanced="0"/>
    <cacheHierarchy uniqueName="[TB_VendasHist].[Total]" caption="Total" attribute="1" defaultMemberUniqueName="[TB_VendasHist].[Total].[All]" allUniqueName="[TB_VendasHist].[Total].[All]" dimensionUniqueName="[TB_VendasHist]" displayFolder="" count="0" memberValueDatatype="5" unbalanced="0"/>
    <cacheHierarchy uniqueName="[TB_VendasHist].[Vendedor]" caption="Vendedor" attribute="1" defaultMemberUniqueName="[TB_VendasHist].[Vendedor].[All]" allUniqueName="[TB_VendasHist].[Vendedor].[All]" dimensionUniqueName="[TB_VendasHist]" displayFolder="" count="0" memberValueDatatype="130" unbalanced="0"/>
    <cacheHierarchy uniqueName="[TB_VendasHist].[Data (Ano)]" caption="Data (Ano)" attribute="1" defaultMemberUniqueName="[TB_VendasHist].[Data (Ano)].[All]" allUniqueName="[TB_VendasHist].[Data (Ano)].[All]" dimensionUniqueName="[TB_VendasHist]" displayFolder="" count="0" memberValueDatatype="130" unbalanced="0"/>
    <cacheHierarchy uniqueName="[TB_VendasHist].[Data (Trimestre)]" caption="Data (Trimestre)" attribute="1" defaultMemberUniqueName="[TB_VendasHist].[Data (Trimestre)].[All]" allUniqueName="[TB_VendasHist].[Data (Trimestre)].[All]" dimensionUniqueName="[TB_VendasHist]" displayFolder="" count="0" memberValueDatatype="130" unbalanced="0"/>
    <cacheHierarchy uniqueName="[TB_VendasHist].[Data (Mês)]" caption="Data (Mês)" attribute="1" defaultMemberUniqueName="[TB_VendasHist].[Data (Mês)].[All]" allUniqueName="[TB_VendasHist].[Data (Mês)].[All]" dimensionUniqueName="[TB_VendasHist]" displayFolder="" count="0" memberValueDatatype="130" unbalanced="0"/>
    <cacheHierarchy uniqueName="[TB_Vendedores].[Código]" caption="Código" attribute="1" defaultMemberUniqueName="[TB_Vendedores].[Código].[All]" allUniqueName="[TB_Vendedores].[Código].[All]" dimensionUniqueName="[TB_Vendedores]" displayFolder="" count="0" memberValueDatatype="130" unbalanced="0"/>
    <cacheHierarchy uniqueName="[TB_Vendedores].[Vendedor]" caption="Vendedor" attribute="1" defaultMemberUniqueName="[TB_Vendedores].[Vendedor].[All]" allUniqueName="[TB_Vendedores].[Vendedor].[All]" dimensionUniqueName="[TB_Vendedores]" displayFolder="" count="0" memberValueDatatype="130" unbalanced="0"/>
    <cacheHierarchy uniqueName="[TB_Vendedores].[Cidade]" caption="Cidade" attribute="1" defaultMemberUniqueName="[TB_Vendedores].[Cidade].[All]" allUniqueName="[TB_Vendedores].[Cidade].[All]" dimensionUniqueName="[TB_Vendedores]" displayFolder="" count="0" memberValueDatatype="130" unbalanced="0"/>
    <cacheHierarchy uniqueName="[TB_Vendedores].[Desc. Máximo]" caption="Desc. Máximo" attribute="1" defaultMemberUniqueName="[TB_Vendedores].[Desc. Máximo].[All]" allUniqueName="[TB_Vendedores].[Desc. Máximo].[All]" dimensionUniqueName="[TB_Vendedores]" displayFolder="" count="0" memberValueDatatype="5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Hist].[Data (Índice de Mês)]" caption="Data (Índice de Mês)" attribute="1" defaultMemberUniqueName="[TB_VendasHist].[Data (Índice de Mês)].[All]" allUniqueName="[TB_VendasHist].[Data (Índice de Mês)].[All]" dimensionUniqueName="[TB_Vendas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Qtd 2]" caption="Soma de Qtd 2" measure="1" displayFolder="" measureGroup="TB_VendasHist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Desconto Final]" caption="Soma de Desconto Final" measure="1" displayFolder="" measureGroup="TB_VendasHist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Preço Unitário 2]" caption="Soma de Preço Unitário 2" measure="1" displayFolder="" measureGroup="TB_VendasHi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Total 2]" caption="Soma de Total 2" measure="1" displayFolder="" measureGroup="TB_VendasHist" count="0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Vendas]" caption="% Vendas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 das Vendas]" caption="Soma das Vendas" measure="1" displayFolder="" measureGroup="TB_VendasHist" count="0"/>
    <cacheHierarchy uniqueName="[Measures].[Vendas Totais2]" caption="Vendas Totais2" measure="1" displayFolder="" measureGroup="TB_VendasHist" count="0"/>
    <cacheHierarchy uniqueName="[Measures].[% de Vendas2]" caption="% de Vendas2" measure="1" displayFolder="" measureGroup="TB_VendasHist" count="0"/>
    <cacheHierarchy uniqueName="[Measures].[% Restante2]" caption="% Restante2" measure="1" displayFolder="" measureGroup="TB_Vendas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TB_Vendedores]" caption="__XL_Count TB_Vendedores" measure="1" displayFolder="" measureGroup="TB_Vendedores" count="0" hidden="1"/>
    <cacheHierarchy uniqueName="[Measures].[__XL_Count TB_VendasHist]" caption="__XL_Count TB_VendasHist" measure="1" displayFolder="" measureGroup="TB_VendasHist" count="0" hidden="1"/>
    <cacheHierarchy uniqueName="[Measures].[__No measures defined]" caption="__No measures defined" measure="1" displayFolder="" count="0" hidden="1"/>
  </cacheHierarchies>
  <kpis count="0"/>
  <dimensions count="5"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Hist" uniqueName="[TB_VendasHist]" caption="TB_VendasHist"/>
    <dimension name="TB_Vendedores" uniqueName="[TB_Vendedores]" caption="TB_Vendedores"/>
  </dimensions>
  <measureGroups count="4">
    <measureGroup name="TB_Produtos" caption="TB_Produtos"/>
    <measureGroup name="TB_Vendas" caption="TB_Vendas"/>
    <measureGroup name="TB_VendasHist" caption="TB_VendasHist"/>
    <measureGroup name="TB_Vendedores" caption="TB_Vendedores"/>
  </measureGroups>
  <maps count="8">
    <map measureGroup="0" dimension="1"/>
    <map measureGroup="1" dimension="1"/>
    <map measureGroup="1" dimension="2"/>
    <map measureGroup="1" dimension="4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" refreshedDate="45702.614898032407" createdVersion="8" refreshedVersion="8" minRefreshableVersion="3" recordCount="60" xr:uid="{960B3BBA-01B7-4434-B289-01DCAFA46C3D}">
  <cacheSource type="worksheet">
    <worksheetSource name="TB_Produtos"/>
  </cacheSource>
  <cacheFields count="6">
    <cacheField name="Código" numFmtId="0">
      <sharedItems/>
    </cacheField>
    <cacheField name="Produtos" numFmtId="0">
      <sharedItems count="25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3">
        <s v="Vestuário"/>
        <s v="Acessórios"/>
        <s v="Calçado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50032015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" refreshedDate="45716.493974305558" backgroundQuery="1" createdVersion="8" refreshedVersion="8" minRefreshableVersion="3" recordCount="0" supportSubquery="1" supportAdvancedDrill="1" xr:uid="{351BC88F-42B5-4A1E-925B-F3B553473B11}">
  <cacheSource type="external" connectionId="2"/>
  <cacheFields count="4">
    <cacheField name="[TB_VendasHist].[Categoria].[Categoria]" caption="Categoria" numFmtId="0" hierarchy="20" level="1">
      <sharedItems count="3">
        <s v="Acessórios"/>
        <s v="Calçado"/>
        <s v="Vestuário"/>
      </sharedItems>
    </cacheField>
    <cacheField name="[Measures].[Soma de Qtd 2]" caption="Soma de Qtd 2" numFmtId="0" hierarchy="38" level="32767"/>
    <cacheField name="[Measures].[% de Vendas2]" caption="% de Vendas2" numFmtId="0" hierarchy="48" level="32767"/>
    <cacheField name="[Measures].[% Restante2]" caption="% Restante2" numFmtId="0" hierarchy="49" level="32767"/>
  </cacheFields>
  <cacheHierarchies count="55"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Desconto Calculado]" caption="Desconto Calculado" attribute="1" defaultMemberUniqueName="[TB_Vendas].[Desconto Calculado].[All]" allUniqueName="[TB_Vendas].[Desconto Calculado].[All]" dimensionUniqueName="[TB_Vendas]" displayFolder="" count="0" memberValueDatatype="5" unbalanced="0"/>
    <cacheHierarchy uniqueName="[TB_Vendas].[Desc. Vendedor]" caption="Desc. Vendedor" attribute="1" defaultMemberUniqueName="[TB_Vendas].[Desc. Vendedor].[All]" allUniqueName="[TB_Vendas].[Desc. Vendedor].[All]" dimensionUniqueName="[TB_Vendas]" displayFolder="" count="0" memberValueDatatype="5" unbalanced="0"/>
    <cacheHierarchy uniqueName="[TB_Vendas].[Desconto]" caption="Desconto" attribute="1" defaultMemberUniqueName="[TB_Vendas].[Desconto].[All]" allUniqueName="[TB_Vendas].[Desconto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Hist].[Data]" caption="Data" attribute="1" time="1" defaultMemberUniqueName="[TB_VendasHist].[Data].[All]" allUniqueName="[TB_VendasHist].[Data].[All]" dimensionUniqueName="[TB_VendasHist]" displayFolder="" count="0" memberValueDatatype="7" unbalanced="0"/>
    <cacheHierarchy uniqueName="[TB_VendasHist].[Código]" caption="Código" attribute="1" defaultMemberUniqueName="[TB_VendasHist].[Código].[All]" allUniqueName="[TB_VendasHist].[Código].[All]" dimensionUniqueName="[TB_VendasHist]" displayFolder="" count="0" memberValueDatatype="130" unbalanced="0"/>
    <cacheHierarchy uniqueName="[TB_VendasHist].[Categoria]" caption="Categoria" attribute="1" defaultMemberUniqueName="[TB_VendasHist].[Categoria].[All]" allUniqueName="[TB_VendasHist].[Categoria].[All]" dimensionUniqueName="[TB_VendasHist]" displayFolder="" count="2" memberValueDatatype="130" unbalanced="0">
      <fieldsUsage count="2">
        <fieldUsage x="-1"/>
        <fieldUsage x="0"/>
      </fieldsUsage>
    </cacheHierarchy>
    <cacheHierarchy uniqueName="[TB_VendasHist].[Qtd]" caption="Qtd" attribute="1" defaultMemberUniqueName="[TB_VendasHist].[Qtd].[All]" allUniqueName="[TB_VendasHist].[Qtd].[All]" dimensionUniqueName="[TB_VendasHist]" displayFolder="" count="0" memberValueDatatype="20" unbalanced="0"/>
    <cacheHierarchy uniqueName="[TB_VendasHist].[Preço Unitário]" caption="Preço Unitário" attribute="1" defaultMemberUniqueName="[TB_VendasHist].[Preço Unitário].[All]" allUniqueName="[TB_VendasHist].[Preço Unitário].[All]" dimensionUniqueName="[TB_VendasHist]" displayFolder="" count="0" memberValueDatatype="5" unbalanced="0"/>
    <cacheHierarchy uniqueName="[TB_VendasHist].[Desconto Final]" caption="Desconto Final" attribute="1" defaultMemberUniqueName="[TB_VendasHist].[Desconto Final].[All]" allUniqueName="[TB_VendasHist].[Desconto Final].[All]" dimensionUniqueName="[TB_VendasHist]" displayFolder="" count="0" memberValueDatatype="5" unbalanced="0"/>
    <cacheHierarchy uniqueName="[TB_VendasHist].[Total]" caption="Total" attribute="1" defaultMemberUniqueName="[TB_VendasHist].[Total].[All]" allUniqueName="[TB_VendasHist].[Total].[All]" dimensionUniqueName="[TB_VendasHist]" displayFolder="" count="0" memberValueDatatype="5" unbalanced="0"/>
    <cacheHierarchy uniqueName="[TB_VendasHist].[Vendedor]" caption="Vendedor" attribute="1" defaultMemberUniqueName="[TB_VendasHist].[Vendedor].[All]" allUniqueName="[TB_VendasHist].[Vendedor].[All]" dimensionUniqueName="[TB_VendasHist]" displayFolder="" count="0" memberValueDatatype="130" unbalanced="0"/>
    <cacheHierarchy uniqueName="[TB_VendasHist].[Data (Ano)]" caption="Data (Ano)" attribute="1" defaultMemberUniqueName="[TB_VendasHist].[Data (Ano)].[All]" allUniqueName="[TB_VendasHist].[Data (Ano)].[All]" dimensionUniqueName="[TB_VendasHist]" displayFolder="" count="0" memberValueDatatype="130" unbalanced="0"/>
    <cacheHierarchy uniqueName="[TB_VendasHist].[Data (Trimestre)]" caption="Data (Trimestre)" attribute="1" defaultMemberUniqueName="[TB_VendasHist].[Data (Trimestre)].[All]" allUniqueName="[TB_VendasHist].[Data (Trimestre)].[All]" dimensionUniqueName="[TB_VendasHist]" displayFolder="" count="0" memberValueDatatype="130" unbalanced="0"/>
    <cacheHierarchy uniqueName="[TB_VendasHist].[Data (Mês)]" caption="Data (Mês)" attribute="1" defaultMemberUniqueName="[TB_VendasHist].[Data (Mês)].[All]" allUniqueName="[TB_VendasHist].[Data (Mês)].[All]" dimensionUniqueName="[TB_VendasHist]" displayFolder="" count="0" memberValueDatatype="130" unbalanced="0"/>
    <cacheHierarchy uniqueName="[TB_Vendedores].[Código]" caption="Código" attribute="1" defaultMemberUniqueName="[TB_Vendedores].[Código].[All]" allUniqueName="[TB_Vendedores].[Código].[All]" dimensionUniqueName="[TB_Vendedores]" displayFolder="" count="0" memberValueDatatype="130" unbalanced="0"/>
    <cacheHierarchy uniqueName="[TB_Vendedores].[Vendedor]" caption="Vendedor" attribute="1" defaultMemberUniqueName="[TB_Vendedores].[Vendedor].[All]" allUniqueName="[TB_Vendedores].[Vendedor].[All]" dimensionUniqueName="[TB_Vendedores]" displayFolder="" count="0" memberValueDatatype="130" unbalanced="0"/>
    <cacheHierarchy uniqueName="[TB_Vendedores].[Cidade]" caption="Cidade" attribute="1" defaultMemberUniqueName="[TB_Vendedores].[Cidade].[All]" allUniqueName="[TB_Vendedores].[Cidade].[All]" dimensionUniqueName="[TB_Vendedores]" displayFolder="" count="0" memberValueDatatype="130" unbalanced="0"/>
    <cacheHierarchy uniqueName="[TB_Vendedores].[Desc. Máximo]" caption="Desc. Máximo" attribute="1" defaultMemberUniqueName="[TB_Vendedores].[Desc. Máximo].[All]" allUniqueName="[TB_Vendedores].[Desc. Máximo].[All]" dimensionUniqueName="[TB_Vendedores]" displayFolder="" count="0" memberValueDatatype="5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Hist].[Data (Índice de Mês)]" caption="Data (Índice de Mês)" attribute="1" defaultMemberUniqueName="[TB_VendasHist].[Data (Índice de Mês)].[All]" allUniqueName="[TB_VendasHist].[Data (Índice de Mês)].[All]" dimensionUniqueName="[TB_Vendas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Qtd 2]" caption="Soma de Qtd 2" measure="1" displayFolder="" measureGroup="TB_Vendas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Desconto Final]" caption="Soma de Desconto Final" measure="1" displayFolder="" measureGroup="TB_VendasHist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Preço Unitário 2]" caption="Soma de Preço Unitário 2" measure="1" displayFolder="" measureGroup="TB_VendasHi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Total 2]" caption="Soma de Total 2" measure="1" displayFolder="" measureGroup="TB_VendasHist" count="0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Vendas]" caption="% Vendas" measure="1" displayFolder="" measureGroup="TB_Vendas" count="0"/>
    <cacheHierarchy uniqueName="[Measures].[% Restante]" caption="% Restante" measure="1" displayFolder="" measureGroup="TB_Vendas" count="0"/>
    <cacheHierarchy uniqueName="[Measures].[Soma das Vendas]" caption="Soma das Vendas" measure="1" displayFolder="" measureGroup="TB_VendasHist" count="0"/>
    <cacheHierarchy uniqueName="[Measures].[Vendas Totais2]" caption="Vendas Totais2" measure="1" displayFolder="" measureGroup="TB_VendasHist" count="0"/>
    <cacheHierarchy uniqueName="[Measures].[% de Vendas2]" caption="% de Vendas2" measure="1" displayFolder="" measureGroup="TB_VendasHist" count="0" oneField="1">
      <fieldsUsage count="1">
        <fieldUsage x="2"/>
      </fieldsUsage>
    </cacheHierarchy>
    <cacheHierarchy uniqueName="[Measures].[% Restante2]" caption="% Restante2" measure="1" displayFolder="" measureGroup="TB_VendasHist" count="0" oneField="1">
      <fieldsUsage count="1">
        <fieldUsage x="3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TB_Vendedores]" caption="__XL_Count TB_Vendedores" measure="1" displayFolder="" measureGroup="TB_Vendedores" count="0" hidden="1"/>
    <cacheHierarchy uniqueName="[Measures].[__XL_Count TB_VendasHist]" caption="__XL_Count TB_VendasHist" measure="1" displayFolder="" measureGroup="TB_VendasHist" count="0" hidden="1"/>
    <cacheHierarchy uniqueName="[Measures].[__No measures defined]" caption="__No measures defined" measure="1" displayFolder="" count="0" hidden="1"/>
  </cacheHierarchies>
  <kpis count="0"/>
  <dimensions count="5"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Hist" uniqueName="[TB_VendasHist]" caption="TB_VendasHist"/>
    <dimension name="TB_Vendedores" uniqueName="[TB_Vendedores]" caption="TB_Vendedores"/>
  </dimensions>
  <measureGroups count="4">
    <measureGroup name="TB_Produtos" caption="TB_Produtos"/>
    <measureGroup name="TB_Vendas" caption="TB_Vendas"/>
    <measureGroup name="TB_VendasHist" caption="TB_VendasHist"/>
    <measureGroup name="TB_Vendedores" caption="TB_Vendedores"/>
  </measureGroups>
  <maps count="8">
    <map measureGroup="0" dimension="1"/>
    <map measureGroup="1" dimension="1"/>
    <map measureGroup="1" dimension="2"/>
    <map measureGroup="1" dimension="4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" refreshedDate="45716.493976504629" backgroundQuery="1" createdVersion="8" refreshedVersion="8" minRefreshableVersion="3" recordCount="0" supportSubquery="1" supportAdvancedDrill="1" xr:uid="{46F4D2F3-A90F-4BE5-AD16-D8A464058297}">
  <cacheSource type="external" connectionId="2"/>
  <cacheFields count="3">
    <cacheField name="[TB_VendasHist].[Data (Mês)].[Data (Mês)]" caption="Data (Mês)" numFmtId="0" hierarchy="28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Qtd 2]" caption="Soma de Qtd 2" numFmtId="0" hierarchy="38" level="32767"/>
    <cacheField name="[Measures].[Soma de Total 2]" caption="Soma de Total 2" numFmtId="0" hierarchy="41" level="32767"/>
  </cacheFields>
  <cacheHierarchies count="55"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Desconto Calculado]" caption="Desconto Calculado" attribute="1" defaultMemberUniqueName="[TB_Vendas].[Desconto Calculado].[All]" allUniqueName="[TB_Vendas].[Desconto Calculado].[All]" dimensionUniqueName="[TB_Vendas]" displayFolder="" count="0" memberValueDatatype="5" unbalanced="0"/>
    <cacheHierarchy uniqueName="[TB_Vendas].[Desc. Vendedor]" caption="Desc. Vendedor" attribute="1" defaultMemberUniqueName="[TB_Vendas].[Desc. Vendedor].[All]" allUniqueName="[TB_Vendas].[Desc. Vendedor].[All]" dimensionUniqueName="[TB_Vendas]" displayFolder="" count="0" memberValueDatatype="5" unbalanced="0"/>
    <cacheHierarchy uniqueName="[TB_Vendas].[Desconto]" caption="Desconto" attribute="1" defaultMemberUniqueName="[TB_Vendas].[Desconto].[All]" allUniqueName="[TB_Vendas].[Desconto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Hist].[Data]" caption="Data" attribute="1" time="1" defaultMemberUniqueName="[TB_VendasHist].[Data].[All]" allUniqueName="[TB_VendasHist].[Data].[All]" dimensionUniqueName="[TB_VendasHist]" displayFolder="" count="2" memberValueDatatype="7" unbalanced="0"/>
    <cacheHierarchy uniqueName="[TB_VendasHist].[Código]" caption="Código" attribute="1" defaultMemberUniqueName="[TB_VendasHist].[Código].[All]" allUniqueName="[TB_VendasHist].[Código].[All]" dimensionUniqueName="[TB_VendasHist]" displayFolder="" count="0" memberValueDatatype="130" unbalanced="0"/>
    <cacheHierarchy uniqueName="[TB_VendasHist].[Categoria]" caption="Categoria" attribute="1" defaultMemberUniqueName="[TB_VendasHist].[Categoria].[All]" allUniqueName="[TB_VendasHist].[Categoria].[All]" dimensionUniqueName="[TB_VendasHist]" displayFolder="" count="0" memberValueDatatype="130" unbalanced="0"/>
    <cacheHierarchy uniqueName="[TB_VendasHist].[Qtd]" caption="Qtd" attribute="1" defaultMemberUniqueName="[TB_VendasHist].[Qtd].[All]" allUniqueName="[TB_VendasHist].[Qtd].[All]" dimensionUniqueName="[TB_VendasHist]" displayFolder="" count="0" memberValueDatatype="20" unbalanced="0"/>
    <cacheHierarchy uniqueName="[TB_VendasHist].[Preço Unitário]" caption="Preço Unitário" attribute="1" defaultMemberUniqueName="[TB_VendasHist].[Preço Unitário].[All]" allUniqueName="[TB_VendasHist].[Preço Unitário].[All]" dimensionUniqueName="[TB_VendasHist]" displayFolder="" count="0" memberValueDatatype="5" unbalanced="0"/>
    <cacheHierarchy uniqueName="[TB_VendasHist].[Desconto Final]" caption="Desconto Final" attribute="1" defaultMemberUniqueName="[TB_VendasHist].[Desconto Final].[All]" allUniqueName="[TB_VendasHist].[Desconto Final].[All]" dimensionUniqueName="[TB_VendasHist]" displayFolder="" count="0" memberValueDatatype="5" unbalanced="0"/>
    <cacheHierarchy uniqueName="[TB_VendasHist].[Total]" caption="Total" attribute="1" defaultMemberUniqueName="[TB_VendasHist].[Total].[All]" allUniqueName="[TB_VendasHist].[Total].[All]" dimensionUniqueName="[TB_VendasHist]" displayFolder="" count="0" memberValueDatatype="5" unbalanced="0"/>
    <cacheHierarchy uniqueName="[TB_VendasHist].[Vendedor]" caption="Vendedor" attribute="1" defaultMemberUniqueName="[TB_VendasHist].[Vendedor].[All]" allUniqueName="[TB_VendasHist].[Vendedor].[All]" dimensionUniqueName="[TB_VendasHist]" displayFolder="" count="0" memberValueDatatype="130" unbalanced="0"/>
    <cacheHierarchy uniqueName="[TB_VendasHist].[Data (Ano)]" caption="Data (Ano)" attribute="1" defaultMemberUniqueName="[TB_VendasHist].[Data (Ano)].[All]" allUniqueName="[TB_VendasHist].[Data (Ano)].[All]" dimensionUniqueName="[TB_VendasHist]" displayFolder="" count="0" memberValueDatatype="130" unbalanced="0"/>
    <cacheHierarchy uniqueName="[TB_VendasHist].[Data (Trimestre)]" caption="Data (Trimestre)" attribute="1" defaultMemberUniqueName="[TB_VendasHist].[Data (Trimestre)].[All]" allUniqueName="[TB_VendasHist].[Data (Trimestre)].[All]" dimensionUniqueName="[TB_VendasHist]" displayFolder="" count="0" memberValueDatatype="130" unbalanced="0"/>
    <cacheHierarchy uniqueName="[TB_VendasHist].[Data (Mês)]" caption="Data (Mês)" attribute="1" defaultMemberUniqueName="[TB_VendasHist].[Data (Mês)].[All]" allUniqueName="[TB_VendasHist].[Data (Mês)].[All]" dimensionUniqueName="[TB_VendasHist]" displayFolder="" count="2" memberValueDatatype="130" unbalanced="0">
      <fieldsUsage count="2">
        <fieldUsage x="-1"/>
        <fieldUsage x="0"/>
      </fieldsUsage>
    </cacheHierarchy>
    <cacheHierarchy uniqueName="[TB_Vendedores].[Código]" caption="Código" attribute="1" defaultMemberUniqueName="[TB_Vendedores].[Código].[All]" allUniqueName="[TB_Vendedores].[Código].[All]" dimensionUniqueName="[TB_Vendedores]" displayFolder="" count="0" memberValueDatatype="130" unbalanced="0"/>
    <cacheHierarchy uniqueName="[TB_Vendedores].[Vendedor]" caption="Vendedor" attribute="1" defaultMemberUniqueName="[TB_Vendedores].[Vendedor].[All]" allUniqueName="[TB_Vendedores].[Vendedor].[All]" dimensionUniqueName="[TB_Vendedores]" displayFolder="" count="0" memberValueDatatype="130" unbalanced="0"/>
    <cacheHierarchy uniqueName="[TB_Vendedores].[Cidade]" caption="Cidade" attribute="1" defaultMemberUniqueName="[TB_Vendedores].[Cidade].[All]" allUniqueName="[TB_Vendedores].[Cidade].[All]" dimensionUniqueName="[TB_Vendedores]" displayFolder="" count="0" memberValueDatatype="130" unbalanced="0"/>
    <cacheHierarchy uniqueName="[TB_Vendedores].[Desc. Máximo]" caption="Desc. Máximo" attribute="1" defaultMemberUniqueName="[TB_Vendedores].[Desc. Máximo].[All]" allUniqueName="[TB_Vendedores].[Desc. Máximo].[All]" dimensionUniqueName="[TB_Vendedores]" displayFolder="" count="0" memberValueDatatype="5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Hist].[Data (Índice de Mês)]" caption="Data (Índice de Mês)" attribute="1" defaultMemberUniqueName="[TB_VendasHist].[Data (Índice de Mês)].[All]" allUniqueName="[TB_VendasHist].[Data (Índice de Mês)].[All]" dimensionUniqueName="[TB_Vendas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Qtd 2]" caption="Soma de Qtd 2" measure="1" displayFolder="" measureGroup="TB_Vendas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Desconto Final]" caption="Soma de Desconto Final" measure="1" displayFolder="" measureGroup="TB_VendasHist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Preço Unitário 2]" caption="Soma de Preço Unitário 2" measure="1" displayFolder="" measureGroup="TB_VendasHi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Total 2]" caption="Soma de Total 2" measure="1" displayFolder="" measureGroup="TB_Vendas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Vendas]" caption="% Vendas" measure="1" displayFolder="" measureGroup="TB_Vendas" count="0"/>
    <cacheHierarchy uniqueName="[Measures].[% Restante]" caption="% Restante" measure="1" displayFolder="" measureGroup="TB_Vendas" count="0"/>
    <cacheHierarchy uniqueName="[Measures].[Soma das Vendas]" caption="Soma das Vendas" measure="1" displayFolder="" measureGroup="TB_VendasHist" count="0"/>
    <cacheHierarchy uniqueName="[Measures].[Vendas Totais2]" caption="Vendas Totais2" measure="1" displayFolder="" measureGroup="TB_VendasHist" count="0"/>
    <cacheHierarchy uniqueName="[Measures].[% de Vendas2]" caption="% de Vendas2" measure="1" displayFolder="" measureGroup="TB_VendasHist" count="0"/>
    <cacheHierarchy uniqueName="[Measures].[% Restante2]" caption="% Restante2" measure="1" displayFolder="" measureGroup="TB_Vendas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TB_Vendedores]" caption="__XL_Count TB_Vendedores" measure="1" displayFolder="" measureGroup="TB_Vendedores" count="0" hidden="1"/>
    <cacheHierarchy uniqueName="[Measures].[__XL_Count TB_VendasHist]" caption="__XL_Count TB_VendasHist" measure="1" displayFolder="" measureGroup="TB_VendasHist" count="0" hidden="1"/>
    <cacheHierarchy uniqueName="[Measures].[__No measures defined]" caption="__No measures defined" measure="1" displayFolder="" count="0" hidden="1"/>
  </cacheHierarchies>
  <kpis count="0"/>
  <dimensions count="5"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Hist" uniqueName="[TB_VendasHist]" caption="TB_VendasHist"/>
    <dimension name="TB_Vendedores" uniqueName="[TB_Vendedores]" caption="TB_Vendedores"/>
  </dimensions>
  <measureGroups count="4">
    <measureGroup name="TB_Produtos" caption="TB_Produtos"/>
    <measureGroup name="TB_Vendas" caption="TB_Vendas"/>
    <measureGroup name="TB_VendasHist" caption="TB_VendasHist"/>
    <measureGroup name="TB_Vendedores" caption="TB_Vendedores"/>
  </measureGroups>
  <maps count="8">
    <map measureGroup="0" dimension="1"/>
    <map measureGroup="1" dimension="1"/>
    <map measureGroup="1" dimension="2"/>
    <map measureGroup="1" dimension="4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" refreshedDate="45716.493977777776" backgroundQuery="1" createdVersion="8" refreshedVersion="8" minRefreshableVersion="3" recordCount="0" supportSubquery="1" supportAdvancedDrill="1" xr:uid="{30A1A14C-F0C3-41B2-9408-16486DA976BC}">
  <cacheSource type="external" connectionId="2"/>
  <cacheFields count="2">
    <cacheField name="[TB_Vendedores].[Vendedor].[Vendedor]" caption="Vendedor" numFmtId="0" hierarchy="30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</cacheFields>
  <cacheHierarchies count="55"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Desconto Calculado]" caption="Desconto Calculado" attribute="1" defaultMemberUniqueName="[TB_Vendas].[Desconto Calculado].[All]" allUniqueName="[TB_Vendas].[Desconto Calculado].[All]" dimensionUniqueName="[TB_Vendas]" displayFolder="" count="0" memberValueDatatype="5" unbalanced="0"/>
    <cacheHierarchy uniqueName="[TB_Vendas].[Desc. Vendedor]" caption="Desc. Vendedor" attribute="1" defaultMemberUniqueName="[TB_Vendas].[Desc. Vendedor].[All]" allUniqueName="[TB_Vendas].[Desc. Vendedor].[All]" dimensionUniqueName="[TB_Vendas]" displayFolder="" count="0" memberValueDatatype="5" unbalanced="0"/>
    <cacheHierarchy uniqueName="[TB_Vendas].[Desconto]" caption="Desconto" attribute="1" defaultMemberUniqueName="[TB_Vendas].[Desconto].[All]" allUniqueName="[TB_Vendas].[Desconto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Hist].[Data]" caption="Data" attribute="1" time="1" defaultMemberUniqueName="[TB_VendasHist].[Data].[All]" allUniqueName="[TB_VendasHist].[Data].[All]" dimensionUniqueName="[TB_VendasHist]" displayFolder="" count="0" memberValueDatatype="7" unbalanced="0"/>
    <cacheHierarchy uniqueName="[TB_VendasHist].[Código]" caption="Código" attribute="1" defaultMemberUniqueName="[TB_VendasHist].[Código].[All]" allUniqueName="[TB_VendasHist].[Código].[All]" dimensionUniqueName="[TB_VendasHist]" displayFolder="" count="0" memberValueDatatype="130" unbalanced="0"/>
    <cacheHierarchy uniqueName="[TB_VendasHist].[Categoria]" caption="Categoria" attribute="1" defaultMemberUniqueName="[TB_VendasHist].[Categoria].[All]" allUniqueName="[TB_VendasHist].[Categoria].[All]" dimensionUniqueName="[TB_VendasHist]" displayFolder="" count="0" memberValueDatatype="130" unbalanced="0"/>
    <cacheHierarchy uniqueName="[TB_VendasHist].[Qtd]" caption="Qtd" attribute="1" defaultMemberUniqueName="[TB_VendasHist].[Qtd].[All]" allUniqueName="[TB_VendasHist].[Qtd].[All]" dimensionUniqueName="[TB_VendasHist]" displayFolder="" count="0" memberValueDatatype="20" unbalanced="0"/>
    <cacheHierarchy uniqueName="[TB_VendasHist].[Preço Unitário]" caption="Preço Unitário" attribute="1" defaultMemberUniqueName="[TB_VendasHist].[Preço Unitário].[All]" allUniqueName="[TB_VendasHist].[Preço Unitário].[All]" dimensionUniqueName="[TB_VendasHist]" displayFolder="" count="0" memberValueDatatype="5" unbalanced="0"/>
    <cacheHierarchy uniqueName="[TB_VendasHist].[Desconto Final]" caption="Desconto Final" attribute="1" defaultMemberUniqueName="[TB_VendasHist].[Desconto Final].[All]" allUniqueName="[TB_VendasHist].[Desconto Final].[All]" dimensionUniqueName="[TB_VendasHist]" displayFolder="" count="0" memberValueDatatype="5" unbalanced="0"/>
    <cacheHierarchy uniqueName="[TB_VendasHist].[Total]" caption="Total" attribute="1" defaultMemberUniqueName="[TB_VendasHist].[Total].[All]" allUniqueName="[TB_VendasHist].[Total].[All]" dimensionUniqueName="[TB_VendasHist]" displayFolder="" count="0" memberValueDatatype="5" unbalanced="0"/>
    <cacheHierarchy uniqueName="[TB_VendasHist].[Vendedor]" caption="Vendedor" attribute="1" defaultMemberUniqueName="[TB_VendasHist].[Vendedor].[All]" allUniqueName="[TB_VendasHist].[Vendedor].[All]" dimensionUniqueName="[TB_VendasHist]" displayFolder="" count="0" memberValueDatatype="130" unbalanced="0"/>
    <cacheHierarchy uniqueName="[TB_VendasHist].[Data (Ano)]" caption="Data (Ano)" attribute="1" defaultMemberUniqueName="[TB_VendasHist].[Data (Ano)].[All]" allUniqueName="[TB_VendasHist].[Data (Ano)].[All]" dimensionUniqueName="[TB_VendasHist]" displayFolder="" count="0" memberValueDatatype="130" unbalanced="0"/>
    <cacheHierarchy uniqueName="[TB_VendasHist].[Data (Trimestre)]" caption="Data (Trimestre)" attribute="1" defaultMemberUniqueName="[TB_VendasHist].[Data (Trimestre)].[All]" allUniqueName="[TB_VendasHist].[Data (Trimestre)].[All]" dimensionUniqueName="[TB_VendasHist]" displayFolder="" count="0" memberValueDatatype="130" unbalanced="0"/>
    <cacheHierarchy uniqueName="[TB_VendasHist].[Data (Mês)]" caption="Data (Mês)" attribute="1" defaultMemberUniqueName="[TB_VendasHist].[Data (Mês)].[All]" allUniqueName="[TB_VendasHist].[Data (Mês)].[All]" dimensionUniqueName="[TB_VendasHist]" displayFolder="" count="0" memberValueDatatype="130" unbalanced="0"/>
    <cacheHierarchy uniqueName="[TB_Vendedores].[Código]" caption="Código" attribute="1" defaultMemberUniqueName="[TB_Vendedores].[Código].[All]" allUniqueName="[TB_Vendedores].[Código].[All]" dimensionUniqueName="[TB_Vendedores]" displayFolder="" count="0" memberValueDatatype="130" unbalanced="0"/>
    <cacheHierarchy uniqueName="[TB_Vendedores].[Vendedor]" caption="Vendedor" attribute="1" defaultMemberUniqueName="[TB_Vendedores].[Vendedor].[All]" allUniqueName="[TB_Vendedores].[Vendedor].[All]" dimensionUniqueName="[TB_Vendedores]" displayFolder="" count="2" memberValueDatatype="130" unbalanced="0">
      <fieldsUsage count="2">
        <fieldUsage x="-1"/>
        <fieldUsage x="0"/>
      </fieldsUsage>
    </cacheHierarchy>
    <cacheHierarchy uniqueName="[TB_Vendedores].[Cidade]" caption="Cidade" attribute="1" defaultMemberUniqueName="[TB_Vendedores].[Cidade].[All]" allUniqueName="[TB_Vendedores].[Cidade].[All]" dimensionUniqueName="[TB_Vendedores]" displayFolder="" count="0" memberValueDatatype="130" unbalanced="0"/>
    <cacheHierarchy uniqueName="[TB_Vendedores].[Desc. Máximo]" caption="Desc. Máximo" attribute="1" defaultMemberUniqueName="[TB_Vendedores].[Desc. Máximo].[All]" allUniqueName="[TB_Vendedores].[Desc. Máximo].[All]" dimensionUniqueName="[TB_Vendedores]" displayFolder="" count="0" memberValueDatatype="5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Hist].[Data (Índice de Mês)]" caption="Data (Índice de Mês)" attribute="1" defaultMemberUniqueName="[TB_VendasHist].[Data (Índice de Mês)].[All]" allUniqueName="[TB_VendasHist].[Data (Índice de Mês)].[All]" dimensionUniqueName="[TB_Vendas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Qtd 2]" caption="Soma de Qtd 2" measure="1" displayFolder="" measureGroup="TB_VendasHist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Desconto Final]" caption="Soma de Desconto Final" measure="1" displayFolder="" measureGroup="TB_VendasHist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Preço Unitário 2]" caption="Soma de Preço Unitário 2" measure="1" displayFolder="" measureGroup="TB_VendasHi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Total 2]" caption="Soma de Total 2" measure="1" displayFolder="" measureGroup="TB_Vendas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Vendas]" caption="% Vendas" measure="1" displayFolder="" measureGroup="TB_Vendas" count="0"/>
    <cacheHierarchy uniqueName="[Measures].[% Restante]" caption="% Restante" measure="1" displayFolder="" measureGroup="TB_Vendas" count="0"/>
    <cacheHierarchy uniqueName="[Measures].[Soma das Vendas]" caption="Soma das Vendas" measure="1" displayFolder="" measureGroup="TB_VendasHist" count="0"/>
    <cacheHierarchy uniqueName="[Measures].[Vendas Totais2]" caption="Vendas Totais2" measure="1" displayFolder="" measureGroup="TB_VendasHist" count="0"/>
    <cacheHierarchy uniqueName="[Measures].[% de Vendas2]" caption="% de Vendas2" measure="1" displayFolder="" measureGroup="TB_VendasHist" count="0"/>
    <cacheHierarchy uniqueName="[Measures].[% Restante2]" caption="% Restante2" measure="1" displayFolder="" measureGroup="TB_Vendas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TB_Vendedores]" caption="__XL_Count TB_Vendedores" measure="1" displayFolder="" measureGroup="TB_Vendedores" count="0" hidden="1"/>
    <cacheHierarchy uniqueName="[Measures].[__XL_Count TB_VendasHist]" caption="__XL_Count TB_VendasHist" measure="1" displayFolder="" measureGroup="TB_VendasHist" count="0" hidden="1"/>
    <cacheHierarchy uniqueName="[Measures].[__No measures defined]" caption="__No measures defined" measure="1" displayFolder="" count="0" hidden="1"/>
  </cacheHierarchies>
  <kpis count="0"/>
  <dimensions count="5"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Hist" uniqueName="[TB_VendasHist]" caption="TB_VendasHist"/>
    <dimension name="TB_Vendedores" uniqueName="[TB_Vendedores]" caption="TB_Vendedores"/>
  </dimensions>
  <measureGroups count="4">
    <measureGroup name="TB_Produtos" caption="TB_Produtos"/>
    <measureGroup name="TB_Vendas" caption="TB_Vendas"/>
    <measureGroup name="TB_VendasHist" caption="TB_VendasHist"/>
    <measureGroup name="TB_Vendedores" caption="TB_Vendedores"/>
  </measureGroups>
  <maps count="8">
    <map measureGroup="0" dimension="1"/>
    <map measureGroup="1" dimension="1"/>
    <map measureGroup="1" dimension="2"/>
    <map measureGroup="1" dimension="4"/>
    <map measureGroup="2" dimension="1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" refreshedDate="45702.614895370367" backgroundQuery="1" createdVersion="3" refreshedVersion="8" minRefreshableVersion="3" recordCount="0" supportSubquery="1" supportAdvancedDrill="1" xr:uid="{9B6AAF64-FE2C-41CE-B36A-3069D90BD094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5"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Desconto Calculado]" caption="Desconto Calculado" attribute="1" defaultMemberUniqueName="[TB_Vendas].[Desconto Calculado].[All]" allUniqueName="[TB_Vendas].[Desconto Calculado].[All]" dimensionUniqueName="[TB_Vendas]" displayFolder="" count="0" memberValueDatatype="5" unbalanced="0"/>
    <cacheHierarchy uniqueName="[TB_Vendas].[Desc. Vendedor]" caption="Desc. Vendedor" attribute="1" defaultMemberUniqueName="[TB_Vendas].[Desc. Vendedor].[All]" allUniqueName="[TB_Vendas].[Desc. Vendedor].[All]" dimensionUniqueName="[TB_Vendas]" displayFolder="" count="0" memberValueDatatype="5" unbalanced="0"/>
    <cacheHierarchy uniqueName="[TB_Vendas].[Desconto]" caption="Desconto" attribute="1" defaultMemberUniqueName="[TB_Vendas].[Desconto].[All]" allUniqueName="[TB_Vendas].[Desconto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Hist].[Data]" caption="Data" attribute="1" time="1" defaultMemberUniqueName="[TB_VendasHist].[Data].[All]" allUniqueName="[TB_VendasHist].[Data].[All]" dimensionUniqueName="[TB_VendasHist]" displayFolder="" count="0" memberValueDatatype="7" unbalanced="0"/>
    <cacheHierarchy uniqueName="[TB_VendasHist].[Código]" caption="Código" attribute="1" defaultMemberUniqueName="[TB_VendasHist].[Código].[All]" allUniqueName="[TB_VendasHist].[Código].[All]" dimensionUniqueName="[TB_VendasHist]" displayFolder="" count="0" memberValueDatatype="130" unbalanced="0"/>
    <cacheHierarchy uniqueName="[TB_VendasHist].[Categoria]" caption="Categoria" attribute="1" defaultMemberUniqueName="[TB_VendasHist].[Categoria].[All]" allUniqueName="[TB_VendasHist].[Categoria].[All]" dimensionUniqueName="[TB_VendasHist]" displayFolder="" count="0" memberValueDatatype="130" unbalanced="0"/>
    <cacheHierarchy uniqueName="[TB_VendasHist].[Qtd]" caption="Qtd" attribute="1" defaultMemberUniqueName="[TB_VendasHist].[Qtd].[All]" allUniqueName="[TB_VendasHist].[Qtd].[All]" dimensionUniqueName="[TB_VendasHist]" displayFolder="" count="0" memberValueDatatype="20" unbalanced="0"/>
    <cacheHierarchy uniqueName="[TB_VendasHist].[Preço Unitário]" caption="Preço Unitário" attribute="1" defaultMemberUniqueName="[TB_VendasHist].[Preço Unitário].[All]" allUniqueName="[TB_VendasHist].[Preço Unitário].[All]" dimensionUniqueName="[TB_VendasHist]" displayFolder="" count="0" memberValueDatatype="5" unbalanced="0"/>
    <cacheHierarchy uniqueName="[TB_VendasHist].[Desconto Final]" caption="Desconto Final" attribute="1" defaultMemberUniqueName="[TB_VendasHist].[Desconto Final].[All]" allUniqueName="[TB_VendasHist].[Desconto Final].[All]" dimensionUniqueName="[TB_VendasHist]" displayFolder="" count="0" memberValueDatatype="5" unbalanced="0"/>
    <cacheHierarchy uniqueName="[TB_VendasHist].[Total]" caption="Total" attribute="1" defaultMemberUniqueName="[TB_VendasHist].[Total].[All]" allUniqueName="[TB_VendasHist].[Total].[All]" dimensionUniqueName="[TB_VendasHist]" displayFolder="" count="0" memberValueDatatype="5" unbalanced="0"/>
    <cacheHierarchy uniqueName="[TB_VendasHist].[Vendedor]" caption="Vendedor" attribute="1" defaultMemberUniqueName="[TB_VendasHist].[Vendedor].[All]" allUniqueName="[TB_VendasHist].[Vendedor].[All]" dimensionUniqueName="[TB_VendasHist]" displayFolder="" count="0" memberValueDatatype="130" unbalanced="0"/>
    <cacheHierarchy uniqueName="[TB_VendasHist].[Data (Ano)]" caption="Data (Ano)" attribute="1" defaultMemberUniqueName="[TB_VendasHist].[Data (Ano)].[All]" allUniqueName="[TB_VendasHist].[Data (Ano)].[All]" dimensionUniqueName="[TB_VendasHist]" displayFolder="" count="0" memberValueDatatype="130" unbalanced="0"/>
    <cacheHierarchy uniqueName="[TB_VendasHist].[Data (Trimestre)]" caption="Data (Trimestre)" attribute="1" defaultMemberUniqueName="[TB_VendasHist].[Data (Trimestre)].[All]" allUniqueName="[TB_VendasHist].[Data (Trimestre)].[All]" dimensionUniqueName="[TB_VendasHist]" displayFolder="" count="0" memberValueDatatype="130" unbalanced="0"/>
    <cacheHierarchy uniqueName="[TB_VendasHist].[Data (Mês)]" caption="Data (Mês)" attribute="1" defaultMemberUniqueName="[TB_VendasHist].[Data (Mês)].[All]" allUniqueName="[TB_VendasHist].[Data (Mês)].[All]" dimensionUniqueName="[TB_VendasHist]" displayFolder="" count="0" memberValueDatatype="130" unbalanced="0"/>
    <cacheHierarchy uniqueName="[TB_Vendedores].[Código]" caption="Código" attribute="1" defaultMemberUniqueName="[TB_Vendedores].[Código].[All]" allUniqueName="[TB_Vendedores].[Código].[All]" dimensionUniqueName="[TB_Vendedores]" displayFolder="" count="0" memberValueDatatype="130" unbalanced="0"/>
    <cacheHierarchy uniqueName="[TB_Vendedores].[Vendedor]" caption="Vendedor" attribute="1" defaultMemberUniqueName="[TB_Vendedores].[Vendedor].[All]" allUniqueName="[TB_Vendedores].[Vendedor].[All]" dimensionUniqueName="[TB_Vendedores]" displayFolder="" count="0" memberValueDatatype="130" unbalanced="0"/>
    <cacheHierarchy uniqueName="[TB_Vendedores].[Cidade]" caption="Cidade" attribute="1" defaultMemberUniqueName="[TB_Vendedores].[Cidade].[All]" allUniqueName="[TB_Vendedores].[Cidade].[All]" dimensionUniqueName="[TB_Vendedores]" displayFolder="" count="0" memberValueDatatype="130" unbalanced="0"/>
    <cacheHierarchy uniqueName="[TB_Vendedores].[Desc. Máximo]" caption="Desc. Máximo" attribute="1" defaultMemberUniqueName="[TB_Vendedores].[Desc. Máximo].[All]" allUniqueName="[TB_Vendedores].[Desc. Máximo].[All]" dimensionUniqueName="[TB_Vendedores]" displayFolder="" count="0" memberValueDatatype="5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Hist].[Data (Índice de Mês)]" caption="Data (Índice de Mês)" attribute="1" defaultMemberUniqueName="[TB_VendasHist].[Data (Índice de Mês)].[All]" allUniqueName="[TB_VendasHist].[Data (Índice de Mês)].[All]" dimensionUniqueName="[TB_Vendas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Qtd 2]" caption="Soma de Qtd 2" measure="1" displayFolder="" measureGroup="TB_VendasHist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Desconto Final]" caption="Soma de Desconto Final" measure="1" displayFolder="" measureGroup="TB_VendasHist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Preço Unitário 2]" caption="Soma de Preço Unitário 2" measure="1" displayFolder="" measureGroup="TB_VendasHi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Total 2]" caption="Soma de Total 2" measure="1" displayFolder="" measureGroup="TB_VendasHist" count="0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Vendas]" caption="% Vendas" measure="1" displayFolder="" measureGroup="TB_Vendas" count="0"/>
    <cacheHierarchy uniqueName="[Measures].[% Restante]" caption="% Restante" measure="1" displayFolder="" measureGroup="TB_Vendas" count="0"/>
    <cacheHierarchy uniqueName="[Measures].[Soma das Vendas]" caption="Soma das Vendas" measure="1" displayFolder="" measureGroup="TB_VendasHist" count="0"/>
    <cacheHierarchy uniqueName="[Measures].[Vendas Totais2]" caption="Vendas Totais2" measure="1" displayFolder="" measureGroup="TB_VendasHist" count="0"/>
    <cacheHierarchy uniqueName="[Measures].[% de Vendas2]" caption="% de Vendas2" measure="1" displayFolder="" measureGroup="TB_VendasHist" count="0"/>
    <cacheHierarchy uniqueName="[Measures].[% Restante2]" caption="% Restante2" measure="1" displayFolder="" measureGroup="TB_Vendas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TB_Vendedores]" caption="__XL_Count TB_Vendedores" measure="1" displayFolder="" measureGroup="TB_Vendedores" count="0" hidden="1"/>
    <cacheHierarchy uniqueName="[Measures].[__XL_Count TB_VendasHist]" caption="__XL_Count TB_VendasHist" measure="1" displayFolder="" measureGroup="TB_Vendas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pivotCacheId="211450162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edro" refreshedDate="45716.493974884259" backgroundQuery="1" createdVersion="3" refreshedVersion="8" minRefreshableVersion="3" recordCount="0" supportSubquery="1" supportAdvancedDrill="1" xr:uid="{3AC2C3B1-79A8-4148-AF26-F3C03532DC32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5"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Desconto Calculado]" caption="Desconto Calculado" attribute="1" defaultMemberUniqueName="[TB_Vendas].[Desconto Calculado].[All]" allUniqueName="[TB_Vendas].[Desconto Calculado].[All]" dimensionUniqueName="[TB_Vendas]" displayFolder="" count="0" memberValueDatatype="5" unbalanced="0"/>
    <cacheHierarchy uniqueName="[TB_Vendas].[Desc. Vendedor]" caption="Desc. Vendedor" attribute="1" defaultMemberUniqueName="[TB_Vendas].[Desc. Vendedor].[All]" allUniqueName="[TB_Vendas].[Desc. Vendedor].[All]" dimensionUniqueName="[TB_Vendas]" displayFolder="" count="0" memberValueDatatype="5" unbalanced="0"/>
    <cacheHierarchy uniqueName="[TB_Vendas].[Desconto]" caption="Desconto" attribute="1" defaultMemberUniqueName="[TB_Vendas].[Desconto].[All]" allUniqueName="[TB_Vendas].[Desconto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Hist].[Data]" caption="Data" attribute="1" time="1" defaultMemberUniqueName="[TB_VendasHist].[Data].[All]" allUniqueName="[TB_VendasHist].[Data].[All]" dimensionUniqueName="[TB_VendasHist]" displayFolder="" count="2" memberValueDatatype="7" unbalanced="0"/>
    <cacheHierarchy uniqueName="[TB_VendasHist].[Código]" caption="Código" attribute="1" defaultMemberUniqueName="[TB_VendasHist].[Código].[All]" allUniqueName="[TB_VendasHist].[Código].[All]" dimensionUniqueName="[TB_VendasHist]" displayFolder="" count="0" memberValueDatatype="130" unbalanced="0"/>
    <cacheHierarchy uniqueName="[TB_VendasHist].[Categoria]" caption="Categoria" attribute="1" defaultMemberUniqueName="[TB_VendasHist].[Categoria].[All]" allUniqueName="[TB_VendasHist].[Categoria].[All]" dimensionUniqueName="[TB_VendasHist]" displayFolder="" count="0" memberValueDatatype="130" unbalanced="0"/>
    <cacheHierarchy uniqueName="[TB_VendasHist].[Qtd]" caption="Qtd" attribute="1" defaultMemberUniqueName="[TB_VendasHist].[Qtd].[All]" allUniqueName="[TB_VendasHist].[Qtd].[All]" dimensionUniqueName="[TB_VendasHist]" displayFolder="" count="0" memberValueDatatype="20" unbalanced="0"/>
    <cacheHierarchy uniqueName="[TB_VendasHist].[Preço Unitário]" caption="Preço Unitário" attribute="1" defaultMemberUniqueName="[TB_VendasHist].[Preço Unitário].[All]" allUniqueName="[TB_VendasHist].[Preço Unitário].[All]" dimensionUniqueName="[TB_VendasHist]" displayFolder="" count="0" memberValueDatatype="5" unbalanced="0"/>
    <cacheHierarchy uniqueName="[TB_VendasHist].[Desconto Final]" caption="Desconto Final" attribute="1" defaultMemberUniqueName="[TB_VendasHist].[Desconto Final].[All]" allUniqueName="[TB_VendasHist].[Desconto Final].[All]" dimensionUniqueName="[TB_VendasHist]" displayFolder="" count="0" memberValueDatatype="5" unbalanced="0"/>
    <cacheHierarchy uniqueName="[TB_VendasHist].[Total]" caption="Total" attribute="1" defaultMemberUniqueName="[TB_VendasHist].[Total].[All]" allUniqueName="[TB_VendasHist].[Total].[All]" dimensionUniqueName="[TB_VendasHist]" displayFolder="" count="0" memberValueDatatype="5" unbalanced="0"/>
    <cacheHierarchy uniqueName="[TB_VendasHist].[Vendedor]" caption="Vendedor" attribute="1" defaultMemberUniqueName="[TB_VendasHist].[Vendedor].[All]" allUniqueName="[TB_VendasHist].[Vendedor].[All]" dimensionUniqueName="[TB_VendasHist]" displayFolder="" count="0" memberValueDatatype="130" unbalanced="0"/>
    <cacheHierarchy uniqueName="[TB_VendasHist].[Data (Ano)]" caption="Data (Ano)" attribute="1" defaultMemberUniqueName="[TB_VendasHist].[Data (Ano)].[All]" allUniqueName="[TB_VendasHist].[Data (Ano)].[All]" dimensionUniqueName="[TB_VendasHist]" displayFolder="" count="0" memberValueDatatype="130" unbalanced="0"/>
    <cacheHierarchy uniqueName="[TB_VendasHist].[Data (Trimestre)]" caption="Data (Trimestre)" attribute="1" defaultMemberUniqueName="[TB_VendasHist].[Data (Trimestre)].[All]" allUniqueName="[TB_VendasHist].[Data (Trimestre)].[All]" dimensionUniqueName="[TB_VendasHist]" displayFolder="" count="0" memberValueDatatype="130" unbalanced="0"/>
    <cacheHierarchy uniqueName="[TB_VendasHist].[Data (Mês)]" caption="Data (Mês)" attribute="1" defaultMemberUniqueName="[TB_VendasHist].[Data (Mês)].[All]" allUniqueName="[TB_VendasHist].[Data (Mês)].[All]" dimensionUniqueName="[TB_VendasHist]" displayFolder="" count="0" memberValueDatatype="130" unbalanced="0"/>
    <cacheHierarchy uniqueName="[TB_Vendedores].[Código]" caption="Código" attribute="1" defaultMemberUniqueName="[TB_Vendedores].[Código].[All]" allUniqueName="[TB_Vendedores].[Código].[All]" dimensionUniqueName="[TB_Vendedores]" displayFolder="" count="0" memberValueDatatype="130" unbalanced="0"/>
    <cacheHierarchy uniqueName="[TB_Vendedores].[Vendedor]" caption="Vendedor" attribute="1" defaultMemberUniqueName="[TB_Vendedores].[Vendedor].[All]" allUniqueName="[TB_Vendedores].[Vendedor].[All]" dimensionUniqueName="[TB_Vendedores]" displayFolder="" count="0" memberValueDatatype="130" unbalanced="0"/>
    <cacheHierarchy uniqueName="[TB_Vendedores].[Cidade]" caption="Cidade" attribute="1" defaultMemberUniqueName="[TB_Vendedores].[Cidade].[All]" allUniqueName="[TB_Vendedores].[Cidade].[All]" dimensionUniqueName="[TB_Vendedores]" displayFolder="" count="0" memberValueDatatype="130" unbalanced="0"/>
    <cacheHierarchy uniqueName="[TB_Vendedores].[Desc. Máximo]" caption="Desc. Máximo" attribute="1" defaultMemberUniqueName="[TB_Vendedores].[Desc. Máximo].[All]" allUniqueName="[TB_Vendedores].[Desc. Máximo].[All]" dimensionUniqueName="[TB_Vendedores]" displayFolder="" count="0" memberValueDatatype="5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Hist].[Data (Índice de Mês)]" caption="Data (Índice de Mês)" attribute="1" defaultMemberUniqueName="[TB_VendasHist].[Data (Índice de Mês)].[All]" allUniqueName="[TB_VendasHist].[Data (Índice de Mês)].[All]" dimensionUniqueName="[TB_Vendas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Qtd 2]" caption="Soma de Qtd 2" measure="1" displayFolder="" measureGroup="TB_VendasHist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Desconto Final]" caption="Soma de Desconto Final" measure="1" displayFolder="" measureGroup="TB_VendasHist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a de Preço Unitário 2]" caption="Soma de Preço Unitário 2" measure="1" displayFolder="" measureGroup="TB_VendasHi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Total 2]" caption="Soma de Total 2" measure="1" displayFolder="" measureGroup="TB_VendasHist" count="0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Vendas]" caption="% Vendas" measure="1" displayFolder="" measureGroup="TB_Vendas" count="0"/>
    <cacheHierarchy uniqueName="[Measures].[% Restante]" caption="% Restante" measure="1" displayFolder="" measureGroup="TB_Vendas" count="0"/>
    <cacheHierarchy uniqueName="[Measures].[Soma das Vendas]" caption="Soma das Vendas" measure="1" displayFolder="" measureGroup="TB_VendasHist" count="0"/>
    <cacheHierarchy uniqueName="[Measures].[Vendas Totais2]" caption="Vendas Totais2" measure="1" displayFolder="" measureGroup="TB_VendasHist" count="0"/>
    <cacheHierarchy uniqueName="[Measures].[% de Vendas2]" caption="% de Vendas2" measure="1" displayFolder="" measureGroup="TB_VendasHist" count="0"/>
    <cacheHierarchy uniqueName="[Measures].[% Restante2]" caption="% Restante2" measure="1" displayFolder="" measureGroup="TB_Vendas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TB_Vendedores]" caption="__XL_Count TB_Vendedores" measure="1" displayFolder="" measureGroup="TB_Vendedores" count="0" hidden="1"/>
    <cacheHierarchy uniqueName="[Measures].[__XL_Count TB_VendasHist]" caption="__XL_Count TB_VendasHist" measure="1" displayFolder="" measureGroup="TB_Vendas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pivotCacheId="13020494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8"/>
    <n v="69.900000000000006"/>
  </r>
  <r>
    <s v="PR003"/>
    <x v="0"/>
    <s v="G"/>
    <x v="0"/>
    <n v="37"/>
    <n v="70.900000000000006"/>
  </r>
  <r>
    <s v="PR004"/>
    <x v="1"/>
    <s v="Único"/>
    <x v="1"/>
    <n v="6"/>
    <n v="145"/>
  </r>
  <r>
    <s v="PR005"/>
    <x v="2"/>
    <s v="Único"/>
    <x v="1"/>
    <n v="2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4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0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34"/>
    <n v="289.89999999999998"/>
  </r>
  <r>
    <s v="PR048"/>
    <x v="20"/>
    <s v="G"/>
    <x v="0"/>
    <n v="21"/>
    <n v="289.89999999999998"/>
  </r>
  <r>
    <s v="PR049"/>
    <x v="21"/>
    <s v="P"/>
    <x v="0"/>
    <n v="40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DFF20D-EE61-4711-8F19-E4491CEC9654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4">
        <item x="1"/>
        <item x="2"/>
        <item x="0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CB690A-30C5-438F-B8F4-29DA5B8E2F33}" name="TB_DinamicaProdutos" cacheId="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32" firstHeaderRow="0" firstDataRow="1" firstDataCol="1"/>
  <pivotFields count="6">
    <pivotField showAll="0"/>
    <pivotField axis="axisRow" showAll="0">
      <items count="26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t="default"/>
      </items>
    </pivotField>
    <pivotField showAll="0"/>
    <pivotField axis="axisRow" showAll="0">
      <items count="4">
        <item x="1"/>
        <item x="2"/>
        <item x="0"/>
        <item t="default"/>
      </items>
    </pivotField>
    <pivotField dataField="1" showAll="0"/>
    <pivotField dataField="1" showAll="0"/>
  </pivotFields>
  <rowFields count="2">
    <field x="3"/>
    <field x="1"/>
  </rowFields>
  <rowItems count="29">
    <i>
      <x/>
    </i>
    <i r="1">
      <x v="1"/>
    </i>
    <i r="1">
      <x v="2"/>
    </i>
    <i r="1">
      <x v="3"/>
    </i>
    <i r="1">
      <x v="12"/>
    </i>
    <i r="1">
      <x v="16"/>
    </i>
    <i r="1">
      <x v="17"/>
    </i>
    <i>
      <x v="1"/>
    </i>
    <i r="1">
      <x v="19"/>
    </i>
    <i r="1">
      <x v="20"/>
    </i>
    <i r="1">
      <x v="21"/>
    </i>
    <i>
      <x v="2"/>
    </i>
    <i r="1">
      <x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3"/>
    </i>
    <i r="1">
      <x v="14"/>
    </i>
    <i r="1">
      <x v="15"/>
    </i>
    <i r="1">
      <x v="18"/>
    </i>
    <i r="1">
      <x v="22"/>
    </i>
    <i r="1">
      <x v="23"/>
    </i>
    <i r="1"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reço Unitário" fld="5" baseField="3" baseItem="1" numFmtId="166"/>
    <dataField name="Soma de Estoque" fld="4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3" type="button" dataOnly="0" labelOnly="1" outline="0" axis="axisRow" fieldPosition="0"/>
    </format>
    <format dxfId="9">
      <pivotArea dataOnly="0" labelOnly="1" fieldPosition="0">
        <references count="1">
          <reference field="3" count="0"/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Dark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EB36BC-2668-4928-8765-6719CE5538FD}" name="Tabela dinâmica1" cacheId="2" applyNumberFormats="0" applyBorderFormats="0" applyFontFormats="0" applyPatternFormats="0" applyAlignmentFormats="0" applyWidthHeightFormats="1" dataCaption="Valores" tag="696cd35b-1541-418c-9796-d50f92196afb" updatedVersion="8" minRefreshableVersion="3" useAutoFormatting="1" subtotalHiddenItems="1" itemPrintTitles="1" createdVersion="8" indent="0" outline="1" outlineData="1" multipleFieldFilters="0" chartFormat="2">
  <location ref="E3:G7" firstHeaderRow="0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Produtos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A5F521-F7EC-4CD0-A2BD-FC26D31B80C0}" name="Tabela dinâmica21" cacheId="1" applyNumberFormats="0" applyBorderFormats="0" applyFontFormats="0" applyPatternFormats="0" applyAlignmentFormats="0" applyWidthHeightFormats="1" dataCaption="Valores" tag="c66bac76-2566-4540-af86-de0c4c653684" updatedVersion="8" minRefreshableVersion="5" useAutoFormatting="1" itemPrintTitles="1" createdVersion="8" indent="0" outline="1" outlineData="1" multipleFieldFilters="0" chartFormat="10">
  <location ref="A3:C12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3" numFmtId="166"/>
    <dataField name="Soma de Qtd" fld="2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unções.xlsx!TB_Vendas"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8ADF95-6B66-43B9-8DEA-8D2689F160CF}" name="Tabela dinâmica4" cacheId="0" applyNumberFormats="0" applyBorderFormats="0" applyFontFormats="0" applyPatternFormats="0" applyAlignmentFormats="0" applyWidthHeightFormats="1" dataCaption="Valores" tag="e2300319-3541-48f3-a432-65dd1d2f61c1" updatedVersion="8" minRefreshableVersion="3" useAutoFormatting="1" itemPrintTitles="1" createdVersion="8" indent="0" outline="1" outlineData="1" multipleFieldFilters="0" chartFormat="7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1" numFmtId="166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edores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760AB4-E141-4DA7-9ACA-A0F29E85FD06}" name="Tabela dinâmica8" cacheId="4" applyNumberFormats="0" applyBorderFormats="0" applyFontFormats="0" applyPatternFormats="0" applyAlignmentFormats="0" applyWidthHeightFormats="1" dataCaption="Valores" tag="a7a2fd6a-13f1-489f-a081-ea0697745be8" updatedVersion="8" minRefreshableVersion="3" useAutoFormatting="1" subtotalHiddenItems="1" itemPrintTitles="1" createdVersion="8" indent="0" outline="1" outlineData="1" multipleFieldFilters="0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td" fld="1" baseField="0" baseItem="0"/>
    <dataField name="% de Vendas" fld="2" subtotal="count" baseField="0" baseItem="0"/>
    <dataField name="% Restante" fld="3" subtotal="count" baseField="0" baseItem="0"/>
  </dataField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de Vendas"/>
    <pivotHierarchy dragToRow="0" dragToCol="0" dragToPage="0" dragToData="1" caption="% Restant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unções.xlsx!TB_VendasHist">
        <x15:activeTabTopLevelEntity name="[TB_Vendas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97EBEB-EBF4-4DEC-95B7-70EF80AFE5BF}" name="Tabela dinâmica2" cacheId="5" applyNumberFormats="0" applyBorderFormats="0" applyFontFormats="0" applyPatternFormats="0" applyAlignmentFormats="0" applyWidthHeightFormats="1" dataCaption="Valores" tag="00aa3a5c-0b19-4ecf-a39c-87a398109009" updatedVersion="8" minRefreshableVersion="5" useAutoFormatting="1" subtotalHiddenItems="1" itemPrintTitles="1" createdVersion="8" indent="0" outline="1" outlineData="1" multipleFieldFilters="0" chartFormat="12">
  <location ref="A3:C16" firstHeaderRow="0" firstDataRow="1" firstDataCol="1"/>
  <pivotFields count="3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8" numFmtId="166"/>
    <dataField name="Soma de Qtd" fld="1" baseField="0" baseItem="0"/>
  </dataFields>
  <chartFormats count="2"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Hist]"/>
        <x15:activeTabTopLevelEntity name="[TB_Vendedo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839FC3-C630-4BFE-ABAD-3E976A48351F}" name="Tabela dinâmica1" cacheId="6" applyNumberFormats="0" applyBorderFormats="0" applyFontFormats="0" applyPatternFormats="0" applyAlignmentFormats="0" applyWidthHeightFormats="1" dataCaption="Valores" tag="29475dfc-2741-4f6a-bbfc-3ade74f7eaf2" updatedVersion="8" minRefreshableVersion="3" useAutoFormatting="1" subtotalHiddenItems="1" itemPrintTitles="1" createdVersion="8" indent="0" outline="1" outlineData="1" multipleFieldFilters="0" chartFormat="4">
  <location ref="E10:F16" firstHeaderRow="1" firstDataRow="1" firstDataCol="1"/>
  <pivotFields count="2">
    <pivotField axis="axisRow" allDrilled="1" subtotalTop="0" showAll="0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Total" fld="1" baseField="0" baseItem="0" numFmtId="165"/>
  </dataFields>
  <formats count="1">
    <format dxfId="1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Hist]"/>
        <x15:activeTabTopLevelEntity name="[TB_Vendedo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2A3B423-874E-4ECB-8D6B-CC86D595E8D3}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C2E88AA3-1173-47BA-BB7B-0E0458524878}" sourceName="Categoria">
  <pivotTables>
    <pivotTable tabId="31" name="TB_DinamicaProdutos"/>
    <pivotTable tabId="31" name="Tabela dinâmica1"/>
  </pivotTables>
  <data>
    <tabular pivotCacheId="500320155">
      <items count="3">
        <i x="1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4841E789-B3CB-43C1-8A8B-63F2F8B04B62}" cache="SegmentaçãodeDados_Categoria1" caption="Categoria" columnCount="3" style="SlicerStyleLight2" rowHeight="241300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43">
  <tableColumns count="6">
    <tableColumn id="1" xr3:uid="{2F8ED5FF-48A1-488E-9DF1-FE060F71A415}" name="Código" dataDxfId="42"/>
    <tableColumn id="2" xr3:uid="{E100D4E2-C3A0-43FF-A1D9-90A4BC2A9918}" name="Produtos"/>
    <tableColumn id="3" xr3:uid="{2EF7FEE0-6B6F-4534-86A0-46B6555B7BEF}" name="Tamanho" dataDxfId="41"/>
    <tableColumn id="4" xr3:uid="{4435A4B8-E7F0-4D66-A4F8-6A9FEAA36D5A}" name="Categoria"/>
    <tableColumn id="6" xr3:uid="{15F9CACC-A558-4A20-80CF-C2ADA2603221}" name="Estoque" dataDxfId="40"/>
    <tableColumn id="5" xr3:uid="{CA8AD0DE-58EC-4839-85FB-1DD75DA28087}" name="Preço Unitário" dataDxfId="3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72883E-1F28-4277-B959-C31724BE0342}" name="TB_Vendedores" displayName="TB_Vendedores" ref="A4:D9" totalsRowShown="0" headerRowDxfId="38" headerRowBorderDxfId="37" tableBorderDxfId="36" totalsRowBorderDxfId="35" headerRowCellStyle="Cabeçalho Meteora">
  <autoFilter ref="A4:D9" xr:uid="{DE72883E-1F28-4277-B959-C31724BE0342}"/>
  <tableColumns count="4">
    <tableColumn id="1" xr3:uid="{84B1D5E1-580B-4862-8D01-C08193BA1D8C}" name="Código" dataDxfId="34"/>
    <tableColumn id="2" xr3:uid="{1D4DF10C-3495-45D5-A7FB-5563EA6FCD90}" name="Vendedor" dataDxfId="33"/>
    <tableColumn id="3" xr3:uid="{8964C6AF-8BF9-4795-B9C5-F56C9C4A73E4}" name="Cidade" dataDxfId="32"/>
    <tableColumn id="4" xr3:uid="{81089162-1996-44B7-9BA1-F397050C2BCB}" name="Desc. Máximo" dataDxfId="31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K86" totalsRowShown="0" headerRowDxfId="30" dataDxfId="29" headerRowCellStyle="Cabeçalho Meteora">
  <autoFilter ref="A4:K86" xr:uid="{AD739091-30BD-4C30-BDDA-7504C0C4B6E2}"/>
  <tableColumns count="11">
    <tableColumn id="7" xr3:uid="{5E8DE7C3-CDB6-4314-A5CC-C44D3C21973F}" name="Nº" dataDxfId="28">
      <calculatedColumnFormula>MONTH(TB_Vendas[[#This Row],[Data]])</calculatedColumnFormula>
    </tableColumn>
    <tableColumn id="10" xr3:uid="{BD1ABB49-B48B-4C50-A034-45488FDC03A8}" name="Mês" dataDxfId="27">
      <calculatedColumnFormula>PROPER(TEXT(DATE(,TB_Vendas[[#This Row],[Nº]],1),"Mmm"))</calculatedColumnFormula>
    </tableColumn>
    <tableColumn id="1" xr3:uid="{43632F1F-6978-4CE7-BB13-7CCE587D6821}" name="Data" dataDxfId="26"/>
    <tableColumn id="12" xr3:uid="{205A55AB-454E-4288-AE23-042C3C399E7A}" name="Código" dataDxfId="25"/>
    <tableColumn id="5" xr3:uid="{7DC2ADED-AF8A-4BC8-A38E-FEF676FE49C9}" name="Qtd" dataDxfId="24"/>
    <tableColumn id="9" xr3:uid="{05B7315B-2774-41BC-AFEC-4A19E452D6C7}" name="Preço Unitário" dataDxfId="23">
      <calculatedColumnFormula>_xlfn.XLOOKUP(TB_Vendas[[#This Row],[Código]],TB_Produtos[Código],TB_Produtos[Preço Unitário])</calculatedColumnFormula>
    </tableColumn>
    <tableColumn id="2" xr3:uid="{4BEBDE19-FA81-4412-AC83-E0AE6998A9B4}" name="Desconto Calculado" dataDxfId="22" dataCellStyle="Porcentagem">
      <calculatedColumnFormula>INDEX(TB_DESC,MATCH(TB_Vendas[[#This Row],[Qtd]],DESC_QTD,1),MATCH(_xlfn.XLOOKUP(TB_Vendas[[#This Row],[Código]],TB_Produtos[Código],TB_Produtos[Categoria]),DESC_CATEGORIAS,1))</calculatedColumnFormula>
    </tableColumn>
    <tableColumn id="3" xr3:uid="{DBAB7626-2CE2-43B4-A2A9-36F0F12E156B}" name="Desc. Vendedor" dataDxfId="21" dataCellStyle="Porcentagem">
      <calculatedColumnFormula>_xlfn.XLOOKUP(TB_Vendas[[#This Row],[Vendedor]],TB_Vendedores[Código],TB_Vendedores[Desc. Máximo])</calculatedColumnFormula>
    </tableColumn>
    <tableColumn id="4" xr3:uid="{FF75A8DD-67EF-41CB-B734-D8D207728EDA}" name="Desconto" dataDxfId="20" dataCellStyle="Porcentagem">
      <calculatedColumnFormula>IF(TB_Vendas[[#This Row],[Desc. Vendedor]]&gt;=TB_Vendas[[#This Row],[Desconto Calculado]],TB_Vendas[Desconto Calculado],TB_Vendas[Desc. Vendedor])</calculatedColumnFormula>
    </tableColumn>
    <tableColumn id="6" xr3:uid="{9459B662-6A4F-4486-82B1-12F67B8F842E}" name="Total" dataDxfId="19">
      <calculatedColumnFormula>TB_Vendas[[#This Row],[Preço Unitário]]*TB_Vendas[[#This Row],[Qtd]]</calculatedColumnFormula>
    </tableColumn>
    <tableColumn id="8" xr3:uid="{192FEBCA-1287-48A6-9BE6-69528F71C305}" name="Vendedor" dataDxfId="1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B3447B-F3D1-40B7-9FA0-82DA02588D08}" name="TB_Desafio2" displayName="TB_Desafio2" ref="B4:D12" totalsRowShown="0" headerRowDxfId="17" tableBorderDxfId="16">
  <autoFilter ref="B4:D12" xr:uid="{92B3447B-F3D1-40B7-9FA0-82DA02588D08}"/>
  <sortState xmlns:xlrd2="http://schemas.microsoft.com/office/spreadsheetml/2017/richdata2" ref="B5:D12">
    <sortCondition ref="C4:C12"/>
  </sortState>
  <tableColumns count="3">
    <tableColumn id="1" xr3:uid="{0E65D7B6-91F3-42CD-9400-7AEF819E1DF1}" name="Produtos" dataDxfId="15"/>
    <tableColumn id="2" xr3:uid="{9210AADB-61DE-406C-9051-6A2B81B02075}" name="Estoque" dataDxfId="14"/>
    <tableColumn id="3" xr3:uid="{F6987574-4C8A-46DC-ADFC-6648F50D1155}" name="Preço Unitário" dataDxfId="13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58DDBC-7329-4E4A-A747-2E2C67200695}" name="TB_VendasHist" displayName="TB_VendasHist" ref="A1:H253" tableType="queryTable" totalsRowShown="0">
  <autoFilter ref="A1:H253" xr:uid="{E758DDBC-7329-4E4A-A747-2E2C67200695}"/>
  <tableColumns count="8">
    <tableColumn id="1" xr3:uid="{B9821CDE-95C0-4E76-AC45-AADD3AF7980F}" uniqueName="1" name="Data" queryTableFieldId="1" dataDxfId="5"/>
    <tableColumn id="2" xr3:uid="{5B5D1F84-90EE-4C4D-8872-A789CF58CDA5}" uniqueName="2" name="Código" queryTableFieldId="2" dataDxfId="4"/>
    <tableColumn id="3" xr3:uid="{9B955F0E-E07E-43A8-B469-DA53AE420828}" uniqueName="3" name="Categoria" queryTableFieldId="3" dataDxfId="3"/>
    <tableColumn id="4" xr3:uid="{75BEE51A-0CB6-464C-8FFE-22B439D4811E}" uniqueName="4" name="Qtd" queryTableFieldId="4"/>
    <tableColumn id="5" xr3:uid="{1A531AA4-B7F6-4EEF-ACDE-599037B6AABE}" uniqueName="5" name="Preço Unitário" queryTableFieldId="5"/>
    <tableColumn id="6" xr3:uid="{4DB0CDA0-B9E1-4F81-B965-8A69675049FB}" uniqueName="6" name="Desconto Final" queryTableFieldId="6"/>
    <tableColumn id="7" xr3:uid="{AEF526C4-4BA8-4F7C-BA95-3BB0BC64CE1A}" uniqueName="7" name="Total" queryTableFieldId="7"/>
    <tableColumn id="8" xr3:uid="{704A1543-285E-43EA-BCB1-5C104715A44F}" uniqueName="8" name="Vendedor" queryTableFieldId="8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a" xr10:uid="{5D30F458-2BB7-43A0-8C8D-8A34B913D69E}" sourceName="[TB_Vendas].[Data]">
  <pivotTables>
    <pivotTable tabId="35" name="Tabela dinâmica21"/>
  </pivotTables>
  <state minimalRefreshVersion="6" lastRefreshVersion="6" pivotCacheId="2114501625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a1" xr10:uid="{708AEC01-102E-4CFD-B2B8-1AB14BDAE8E9}" sourceName="[TB_VendasHist].[Data]">
  <pivotTables>
    <pivotTable tabId="38" name="Tabela dinâmica2"/>
  </pivotTables>
  <state minimalRefreshVersion="6" lastRefreshVersion="6" pivotCacheId="1302049488" filterType="unknown"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20EFAC11-4D20-470A-8EA9-AE9C934E12CF}" cache="Timeline_Data" caption="Dat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1" xr10:uid="{9F72F717-5512-4210-8E7E-7B6C7BC16088}" cache="Timeline_Data1" caption="Data" level="2" selectionLevel="2" scrollPosition="2021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Relationship Id="rId5" Type="http://schemas.microsoft.com/office/2011/relationships/timeline" Target="../timelines/timelin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selection activeCell="W4" sqref="W4:AN7"/>
    </sheetView>
  </sheetViews>
  <sheetFormatPr defaultColWidth="0" defaultRowHeight="14.5" zeroHeight="1"/>
  <cols>
    <col min="1" max="5" width="8.90625" style="16" customWidth="1"/>
    <col min="6" max="12" width="8.90625" customWidth="1"/>
    <col min="13" max="16384" width="8.90625" hidden="1"/>
  </cols>
  <sheetData>
    <row r="1" spans="1:12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</row>
    <row r="2" spans="1:12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</row>
    <row r="3" spans="1:12">
      <c r="A3" s="97"/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</row>
    <row r="4" spans="1:12">
      <c r="A4" s="97"/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</row>
    <row r="5" spans="1:12">
      <c r="A5" s="97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</row>
    <row r="6" spans="1:12">
      <c r="A6" s="97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</row>
    <row r="7" spans="1:12">
      <c r="F7" s="16"/>
      <c r="G7" s="16"/>
      <c r="H7" s="16"/>
      <c r="I7" s="16"/>
      <c r="J7" s="16"/>
      <c r="K7" s="16"/>
      <c r="L7" s="16"/>
    </row>
    <row r="8" spans="1:12">
      <c r="F8" s="16"/>
      <c r="G8" s="16"/>
      <c r="H8" s="16"/>
      <c r="I8" s="16"/>
      <c r="J8" s="16"/>
      <c r="K8" s="16"/>
      <c r="L8" s="16"/>
    </row>
    <row r="9" spans="1:12">
      <c r="F9" s="16"/>
      <c r="G9" s="16"/>
      <c r="H9" s="16"/>
      <c r="I9" s="16"/>
      <c r="J9" s="16"/>
      <c r="K9" s="16"/>
      <c r="L9" s="16"/>
    </row>
    <row r="10" spans="1:12">
      <c r="F10" s="16"/>
      <c r="G10" s="16"/>
      <c r="H10" s="16"/>
      <c r="I10" s="16"/>
      <c r="J10" s="16"/>
      <c r="K10" s="16"/>
      <c r="L10" s="16"/>
    </row>
    <row r="11" spans="1:12">
      <c r="F11" s="16"/>
      <c r="G11" s="16"/>
      <c r="H11" s="16"/>
      <c r="I11" s="16"/>
      <c r="J11" s="16"/>
      <c r="K11" s="16"/>
      <c r="L11" s="16"/>
    </row>
    <row r="12" spans="1:12">
      <c r="F12" s="16"/>
      <c r="G12" s="16"/>
      <c r="H12" s="16"/>
      <c r="I12" s="16"/>
      <c r="J12" s="16"/>
      <c r="K12" s="16"/>
      <c r="L12" s="16"/>
    </row>
    <row r="13" spans="1:12">
      <c r="F13" s="16"/>
      <c r="G13" s="16"/>
      <c r="H13" s="16"/>
      <c r="I13" s="16"/>
      <c r="J13" s="16"/>
      <c r="K13" s="16"/>
      <c r="L13" s="16"/>
    </row>
    <row r="14" spans="1:12">
      <c r="F14" s="16"/>
      <c r="G14" s="16"/>
      <c r="H14" s="16"/>
      <c r="I14" s="16"/>
      <c r="J14" s="16"/>
      <c r="K14" s="16"/>
      <c r="L14" s="16"/>
    </row>
    <row r="15" spans="1:12">
      <c r="F15" s="16"/>
      <c r="G15" s="16"/>
      <c r="H15" s="16"/>
      <c r="I15" s="16"/>
      <c r="J15" s="16"/>
      <c r="K15" s="16"/>
      <c r="L15" s="16"/>
    </row>
    <row r="16" spans="1:12">
      <c r="F16" s="16"/>
      <c r="G16" s="16"/>
      <c r="H16" s="16"/>
      <c r="I16" s="16"/>
      <c r="J16" s="16"/>
      <c r="K16" s="16"/>
      <c r="L16" s="16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40" zoomScaleNormal="140" workbookViewId="0">
      <selection activeCell="B6" sqref="B6:G7"/>
    </sheetView>
  </sheetViews>
  <sheetFormatPr defaultColWidth="0" defaultRowHeight="14.5"/>
  <cols>
    <col min="1" max="1" width="8.453125" customWidth="1"/>
    <col min="2" max="2" width="18.36328125" bestFit="1" customWidth="1"/>
    <col min="3" max="3" width="22.6328125" style="1" customWidth="1"/>
    <col min="4" max="4" width="14" bestFit="1" customWidth="1"/>
    <col min="5" max="5" width="17.08984375" bestFit="1" customWidth="1"/>
    <col min="6" max="6" width="13.08984375" customWidth="1"/>
    <col min="7" max="7" width="22.90625" bestFit="1" customWidth="1"/>
    <col min="8" max="8" width="8.90625" customWidth="1"/>
    <col min="9" max="16384" width="8.90625" hidden="1"/>
  </cols>
  <sheetData>
    <row r="1" spans="1:9" s="16" customFormat="1" ht="40.25" customHeight="1">
      <c r="A1" s="19"/>
      <c r="B1" s="23" t="s">
        <v>123</v>
      </c>
      <c r="C1" s="23"/>
      <c r="D1" s="23"/>
      <c r="E1" s="23"/>
      <c r="F1" s="23"/>
      <c r="G1" s="23"/>
      <c r="H1" s="21"/>
      <c r="I1" s="21"/>
    </row>
    <row r="2" spans="1:9" s="17" customFormat="1" ht="4.5" customHeight="1">
      <c r="A2" s="20"/>
      <c r="B2" s="20"/>
      <c r="C2" s="20"/>
      <c r="D2" s="20"/>
      <c r="E2" s="20"/>
      <c r="F2" s="20"/>
    </row>
    <row r="3" spans="1:9" ht="4.5" customHeight="1">
      <c r="A3" s="18"/>
      <c r="B3" s="18"/>
      <c r="C3" s="18"/>
      <c r="D3" s="18"/>
      <c r="E3" s="18"/>
      <c r="F3" s="18"/>
    </row>
    <row r="4" spans="1:9" ht="18" customHeight="1">
      <c r="A4" s="22"/>
      <c r="B4" s="22"/>
      <c r="D4" s="18"/>
      <c r="E4" s="18"/>
      <c r="F4" s="18"/>
    </row>
    <row r="5" spans="1:9" ht="5" customHeight="1">
      <c r="A5" s="18"/>
      <c r="B5" s="18"/>
      <c r="C5" s="18"/>
      <c r="D5" s="18"/>
      <c r="E5" s="18"/>
      <c r="F5" s="18"/>
    </row>
    <row r="6" spans="1:9" s="1" customFormat="1" ht="18.5">
      <c r="B6" s="10" t="s">
        <v>30</v>
      </c>
      <c r="C6" s="10" t="s">
        <v>0</v>
      </c>
      <c r="D6" s="10" t="s">
        <v>1</v>
      </c>
      <c r="E6" s="10" t="s">
        <v>10</v>
      </c>
      <c r="F6" s="10" t="s">
        <v>76</v>
      </c>
      <c r="G6" s="10" t="s">
        <v>11</v>
      </c>
      <c r="H6" s="10"/>
    </row>
    <row r="7" spans="1:9">
      <c r="B7" s="1" t="s">
        <v>32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33</v>
      </c>
      <c r="C8" t="s">
        <v>5</v>
      </c>
      <c r="D8" s="1" t="s">
        <v>3</v>
      </c>
      <c r="E8" t="s">
        <v>12</v>
      </c>
      <c r="F8" s="1">
        <v>8</v>
      </c>
      <c r="G8" s="2">
        <v>69.900000000000006</v>
      </c>
    </row>
    <row r="9" spans="1:9">
      <c r="B9" s="1" t="s">
        <v>34</v>
      </c>
      <c r="C9" t="s">
        <v>5</v>
      </c>
      <c r="D9" s="1" t="s">
        <v>4</v>
      </c>
      <c r="E9" t="s">
        <v>12</v>
      </c>
      <c r="F9" s="1">
        <v>37</v>
      </c>
      <c r="G9" s="2">
        <v>70.900000000000006</v>
      </c>
    </row>
    <row r="10" spans="1:9">
      <c r="B10" s="1" t="s">
        <v>35</v>
      </c>
      <c r="C10" t="s">
        <v>29</v>
      </c>
      <c r="D10" s="1" t="s">
        <v>8</v>
      </c>
      <c r="E10" t="s">
        <v>13</v>
      </c>
      <c r="F10" s="1">
        <v>6</v>
      </c>
      <c r="G10" s="2">
        <v>145</v>
      </c>
    </row>
    <row r="11" spans="1:9">
      <c r="B11" s="1" t="s">
        <v>36</v>
      </c>
      <c r="C11" t="s">
        <v>28</v>
      </c>
      <c r="D11" s="1" t="s">
        <v>8</v>
      </c>
      <c r="E11" t="s">
        <v>13</v>
      </c>
      <c r="F11" s="1">
        <v>2</v>
      </c>
      <c r="G11" s="2">
        <v>259.89999999999998</v>
      </c>
    </row>
    <row r="12" spans="1:9">
      <c r="B12" s="1" t="s">
        <v>37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38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39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40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41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42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43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44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45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46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47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48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49</v>
      </c>
      <c r="C24" t="s">
        <v>17</v>
      </c>
      <c r="D24" s="1" t="s">
        <v>4</v>
      </c>
      <c r="E24" t="s">
        <v>12</v>
      </c>
      <c r="F24" s="1">
        <v>40</v>
      </c>
      <c r="G24" s="2">
        <v>32.9</v>
      </c>
    </row>
    <row r="25" spans="2:7">
      <c r="B25" s="1" t="s">
        <v>50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51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52</v>
      </c>
      <c r="C27" t="s">
        <v>22</v>
      </c>
      <c r="D27" s="1" t="s">
        <v>3</v>
      </c>
      <c r="E27" t="s">
        <v>12</v>
      </c>
      <c r="F27" s="1">
        <v>0</v>
      </c>
      <c r="G27" s="2">
        <v>302.89999999999998</v>
      </c>
    </row>
    <row r="28" spans="2:7">
      <c r="B28" s="1" t="s">
        <v>53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54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55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56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57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58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59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60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61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62</v>
      </c>
      <c r="C37" t="s">
        <v>113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63</v>
      </c>
      <c r="C38" t="s">
        <v>113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64</v>
      </c>
      <c r="C39" t="s">
        <v>113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65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66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67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68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69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70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85</v>
      </c>
      <c r="C46" t="s">
        <v>109</v>
      </c>
      <c r="D46" s="1" t="s">
        <v>2</v>
      </c>
      <c r="E46" t="s">
        <v>12</v>
      </c>
      <c r="F46" s="1">
        <v>16</v>
      </c>
      <c r="G46" s="9">
        <v>70</v>
      </c>
    </row>
    <row r="47" spans="2:7">
      <c r="B47" s="1" t="s">
        <v>86</v>
      </c>
      <c r="C47" t="s">
        <v>109</v>
      </c>
      <c r="D47" s="1" t="s">
        <v>3</v>
      </c>
      <c r="E47" t="s">
        <v>12</v>
      </c>
      <c r="F47" s="1">
        <v>21</v>
      </c>
      <c r="G47" s="9">
        <v>54.9</v>
      </c>
    </row>
    <row r="48" spans="2:7">
      <c r="B48" s="1" t="s">
        <v>87</v>
      </c>
      <c r="C48" t="s">
        <v>109</v>
      </c>
      <c r="D48" s="1" t="s">
        <v>4</v>
      </c>
      <c r="E48" t="s">
        <v>12</v>
      </c>
      <c r="F48" s="1">
        <v>43</v>
      </c>
      <c r="G48" s="9">
        <v>54.9</v>
      </c>
    </row>
    <row r="49" spans="2:7">
      <c r="B49" s="1" t="s">
        <v>88</v>
      </c>
      <c r="C49" t="s">
        <v>89</v>
      </c>
      <c r="D49" s="1" t="s">
        <v>2</v>
      </c>
      <c r="E49" t="s">
        <v>12</v>
      </c>
      <c r="F49" s="1">
        <v>43</v>
      </c>
      <c r="G49" s="9">
        <v>72.5</v>
      </c>
    </row>
    <row r="50" spans="2:7">
      <c r="B50" s="1" t="s">
        <v>90</v>
      </c>
      <c r="C50" t="s">
        <v>89</v>
      </c>
      <c r="D50" s="1" t="s">
        <v>3</v>
      </c>
      <c r="E50" t="s">
        <v>12</v>
      </c>
      <c r="F50" s="1">
        <v>41</v>
      </c>
      <c r="G50" s="9">
        <v>72.5</v>
      </c>
    </row>
    <row r="51" spans="2:7">
      <c r="B51" s="1" t="s">
        <v>91</v>
      </c>
      <c r="C51" t="s">
        <v>89</v>
      </c>
      <c r="D51" s="1" t="s">
        <v>4</v>
      </c>
      <c r="E51" t="s">
        <v>12</v>
      </c>
      <c r="F51" s="1">
        <v>49</v>
      </c>
      <c r="G51" s="9">
        <v>72.5</v>
      </c>
    </row>
    <row r="52" spans="2:7">
      <c r="B52" s="1" t="s">
        <v>92</v>
      </c>
      <c r="C52" t="s">
        <v>93</v>
      </c>
      <c r="D52" s="1" t="s">
        <v>2</v>
      </c>
      <c r="E52" t="s">
        <v>12</v>
      </c>
      <c r="F52" s="1">
        <v>15</v>
      </c>
      <c r="G52" s="9">
        <v>289.89999999999998</v>
      </c>
    </row>
    <row r="53" spans="2:7">
      <c r="B53" s="1" t="s">
        <v>94</v>
      </c>
      <c r="C53" t="s">
        <v>93</v>
      </c>
      <c r="D53" s="1" t="s">
        <v>3</v>
      </c>
      <c r="E53" t="s">
        <v>12</v>
      </c>
      <c r="F53" s="1">
        <v>34</v>
      </c>
      <c r="G53" s="9">
        <v>289.89999999999998</v>
      </c>
    </row>
    <row r="54" spans="2:7">
      <c r="B54" s="1" t="s">
        <v>95</v>
      </c>
      <c r="C54" t="s">
        <v>93</v>
      </c>
      <c r="D54" s="1" t="s">
        <v>4</v>
      </c>
      <c r="E54" t="s">
        <v>12</v>
      </c>
      <c r="F54" s="1">
        <v>21</v>
      </c>
      <c r="G54" s="9">
        <v>289.89999999999998</v>
      </c>
    </row>
    <row r="55" spans="2:7">
      <c r="B55" s="1" t="s">
        <v>96</v>
      </c>
      <c r="C55" t="s">
        <v>97</v>
      </c>
      <c r="D55" s="1" t="s">
        <v>2</v>
      </c>
      <c r="E55" t="s">
        <v>12</v>
      </c>
      <c r="F55" s="1">
        <v>40</v>
      </c>
      <c r="G55" s="9">
        <v>32.9</v>
      </c>
    </row>
    <row r="56" spans="2:7">
      <c r="B56" s="1" t="s">
        <v>98</v>
      </c>
      <c r="C56" t="s">
        <v>97</v>
      </c>
      <c r="D56" s="1" t="s">
        <v>3</v>
      </c>
      <c r="E56" t="s">
        <v>12</v>
      </c>
      <c r="F56" s="1">
        <v>42</v>
      </c>
      <c r="G56" s="9">
        <v>32.9</v>
      </c>
    </row>
    <row r="57" spans="2:7">
      <c r="B57" s="1" t="s">
        <v>99</v>
      </c>
      <c r="C57" t="s">
        <v>97</v>
      </c>
      <c r="D57" s="1" t="s">
        <v>4</v>
      </c>
      <c r="E57" t="s">
        <v>12</v>
      </c>
      <c r="F57" s="1">
        <v>48</v>
      </c>
      <c r="G57" s="9">
        <v>32.9</v>
      </c>
    </row>
    <row r="58" spans="2:7">
      <c r="B58" s="1" t="s">
        <v>100</v>
      </c>
      <c r="C58" t="s">
        <v>101</v>
      </c>
      <c r="D58" s="1" t="s">
        <v>2</v>
      </c>
      <c r="E58" t="s">
        <v>12</v>
      </c>
      <c r="F58" s="1">
        <v>35</v>
      </c>
      <c r="G58" s="9">
        <v>49.9</v>
      </c>
    </row>
    <row r="59" spans="2:7">
      <c r="B59" s="1" t="s">
        <v>102</v>
      </c>
      <c r="C59" t="s">
        <v>101</v>
      </c>
      <c r="D59" s="1" t="s">
        <v>3</v>
      </c>
      <c r="E59" t="s">
        <v>12</v>
      </c>
      <c r="F59" s="1">
        <v>40</v>
      </c>
      <c r="G59" s="9">
        <v>49.9</v>
      </c>
    </row>
    <row r="60" spans="2:7">
      <c r="B60" s="1" t="s">
        <v>103</v>
      </c>
      <c r="C60" t="s">
        <v>101</v>
      </c>
      <c r="D60" s="1" t="s">
        <v>4</v>
      </c>
      <c r="E60" t="s">
        <v>12</v>
      </c>
      <c r="F60" s="1">
        <v>18</v>
      </c>
      <c r="G60" s="9">
        <v>49.9</v>
      </c>
    </row>
    <row r="61" spans="2:7">
      <c r="B61" s="1" t="s">
        <v>104</v>
      </c>
      <c r="C61" t="s">
        <v>106</v>
      </c>
      <c r="D61" s="1">
        <v>35</v>
      </c>
      <c r="E61" t="s">
        <v>14</v>
      </c>
      <c r="F61" s="1">
        <v>48</v>
      </c>
      <c r="G61" s="9">
        <v>89.9</v>
      </c>
    </row>
    <row r="62" spans="2:7">
      <c r="B62" s="1" t="s">
        <v>105</v>
      </c>
      <c r="C62" t="s">
        <v>106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107</v>
      </c>
      <c r="C63" t="s">
        <v>106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108</v>
      </c>
      <c r="C64" t="s">
        <v>110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111</v>
      </c>
      <c r="C65" t="s">
        <v>110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112</v>
      </c>
      <c r="C66" t="s">
        <v>110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>
      <selection activeCell="A5" sqref="A5:D9"/>
    </sheetView>
  </sheetViews>
  <sheetFormatPr defaultRowHeight="14.5"/>
  <cols>
    <col min="1" max="1" width="14.6328125" bestFit="1" customWidth="1"/>
    <col min="2" max="2" width="27.54296875" customWidth="1"/>
    <col min="3" max="3" width="25.6328125" customWidth="1"/>
    <col min="4" max="4" width="22.08984375" customWidth="1"/>
  </cols>
  <sheetData>
    <row r="1" spans="1:5" s="16" customFormat="1" ht="40.25" customHeight="1">
      <c r="A1" s="19"/>
      <c r="B1" s="98" t="s">
        <v>123</v>
      </c>
      <c r="C1" s="98"/>
      <c r="D1" s="21"/>
      <c r="E1" s="21"/>
    </row>
    <row r="2" spans="1:5" s="17" customFormat="1" ht="4.5" customHeight="1">
      <c r="A2" s="20"/>
      <c r="B2" s="20"/>
    </row>
    <row r="3" spans="1:5" ht="4.5" customHeight="1">
      <c r="A3" s="18"/>
      <c r="B3" s="18"/>
    </row>
    <row r="4" spans="1:5" ht="21.5">
      <c r="A4" s="56" t="s">
        <v>30</v>
      </c>
      <c r="B4" s="57" t="s">
        <v>73</v>
      </c>
      <c r="C4" s="57" t="s">
        <v>135</v>
      </c>
      <c r="D4" s="58" t="s">
        <v>136</v>
      </c>
    </row>
    <row r="5" spans="1:5" ht="22.5" customHeight="1">
      <c r="A5" s="54" t="s">
        <v>115</v>
      </c>
      <c r="B5" s="31" t="s">
        <v>72</v>
      </c>
      <c r="C5" s="31" t="s">
        <v>137</v>
      </c>
      <c r="D5" s="55">
        <v>0.2</v>
      </c>
    </row>
    <row r="6" spans="1:5" ht="22.5" customHeight="1">
      <c r="A6" s="54" t="s">
        <v>116</v>
      </c>
      <c r="B6" s="31" t="s">
        <v>74</v>
      </c>
      <c r="C6" s="31" t="s">
        <v>138</v>
      </c>
      <c r="D6" s="55">
        <v>0.25</v>
      </c>
    </row>
    <row r="7" spans="1:5" ht="22.5" customHeight="1">
      <c r="A7" s="54" t="s">
        <v>117</v>
      </c>
      <c r="B7" s="31" t="s">
        <v>71</v>
      </c>
      <c r="C7" s="31" t="s">
        <v>139</v>
      </c>
      <c r="D7" s="55">
        <v>0.1</v>
      </c>
    </row>
    <row r="8" spans="1:5" ht="22.5" customHeight="1">
      <c r="A8" s="54" t="s">
        <v>118</v>
      </c>
      <c r="B8" s="31" t="s">
        <v>120</v>
      </c>
      <c r="C8" s="31" t="s">
        <v>140</v>
      </c>
      <c r="D8" s="55">
        <v>0.2</v>
      </c>
    </row>
    <row r="9" spans="1:5" ht="22.5" customHeight="1">
      <c r="A9" s="59" t="s">
        <v>119</v>
      </c>
      <c r="B9" s="60" t="s">
        <v>121</v>
      </c>
      <c r="C9" s="60" t="s">
        <v>141</v>
      </c>
      <c r="D9" s="6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5"/>
  <dimension ref="A1:K86"/>
  <sheetViews>
    <sheetView topLeftCell="B1" zoomScaleNormal="100" workbookViewId="0">
      <selection activeCell="T28" sqref="T28"/>
    </sheetView>
  </sheetViews>
  <sheetFormatPr defaultRowHeight="14.5"/>
  <cols>
    <col min="1" max="1" width="8.90625" style="1" hidden="1" customWidth="1"/>
    <col min="2" max="2" width="8.90625" style="1" customWidth="1"/>
    <col min="3" max="3" width="11.54296875" style="1" bestFit="1" customWidth="1"/>
    <col min="4" max="4" width="11.54296875" style="1" customWidth="1"/>
    <col min="5" max="5" width="10.08984375" bestFit="1" customWidth="1"/>
    <col min="6" max="6" width="22.90625" bestFit="1" customWidth="1"/>
    <col min="7" max="7" width="24.7265625" hidden="1" customWidth="1"/>
    <col min="8" max="8" width="24.08984375" hidden="1" customWidth="1"/>
    <col min="9" max="9" width="24.08984375" customWidth="1"/>
    <col min="10" max="10" width="20.36328125" customWidth="1"/>
    <col min="11" max="11" width="17" bestFit="1" customWidth="1"/>
    <col min="17" max="17" width="8.7265625" customWidth="1"/>
  </cols>
  <sheetData>
    <row r="1" spans="1:11" s="16" customFormat="1" ht="40.25" customHeight="1">
      <c r="A1" s="19"/>
      <c r="C1" s="23" t="s">
        <v>124</v>
      </c>
      <c r="D1" s="21"/>
      <c r="E1" s="21"/>
      <c r="F1" s="21"/>
      <c r="G1" s="21"/>
      <c r="H1" s="21"/>
      <c r="I1" s="21"/>
      <c r="J1" s="21"/>
      <c r="K1" s="21"/>
    </row>
    <row r="2" spans="1:11" s="17" customFormat="1" ht="4.5" customHeight="1">
      <c r="A2" s="20"/>
      <c r="B2" s="20"/>
      <c r="C2" s="20"/>
      <c r="D2" s="20"/>
      <c r="E2" s="20"/>
    </row>
    <row r="3" spans="1:11" ht="4.5" customHeight="1">
      <c r="A3" s="18"/>
      <c r="B3" s="18"/>
      <c r="C3" s="18"/>
      <c r="D3" s="18"/>
      <c r="E3" s="18"/>
    </row>
    <row r="4" spans="1:11" ht="19">
      <c r="A4" s="5" t="s">
        <v>114</v>
      </c>
      <c r="B4" s="12" t="s">
        <v>31</v>
      </c>
      <c r="C4" s="12" t="s">
        <v>75</v>
      </c>
      <c r="D4" s="12" t="s">
        <v>30</v>
      </c>
      <c r="E4" s="12" t="s">
        <v>15</v>
      </c>
      <c r="F4" s="12" t="s">
        <v>11</v>
      </c>
      <c r="G4" s="12" t="s">
        <v>158</v>
      </c>
      <c r="H4" s="12" t="s">
        <v>157</v>
      </c>
      <c r="I4" s="12" t="s">
        <v>122</v>
      </c>
      <c r="J4" s="13" t="s">
        <v>16</v>
      </c>
      <c r="K4" s="12" t="s">
        <v>73</v>
      </c>
    </row>
    <row r="5" spans="1:11">
      <c r="A5" s="4">
        <f>MONTH(TB_Vendas[[#This Row],[Data]])</f>
        <v>1</v>
      </c>
      <c r="B5" s="4" t="str">
        <f>PROPER(TEXT(DATE(,TB_Vendas[[#This Row],[Nº]],1),"Mmm"))</f>
        <v>Jan</v>
      </c>
      <c r="C5" s="3">
        <v>44931</v>
      </c>
      <c r="D5" s="4" t="s">
        <v>37</v>
      </c>
      <c r="E5" s="1">
        <v>1</v>
      </c>
      <c r="F5" s="8">
        <f>_xlfn.XLOOKUP(TB_Vendas[[#This Row],[Código]],TB_Produtos[Código],TB_Produtos[Preço Unitário])</f>
        <v>39.9</v>
      </c>
      <c r="G5" s="52">
        <f>INDEX(TB_DESC,MATCH(TB_Vendas[[#This Row],[Qtd]],DESC_QTD,1),MATCH(_xlfn.XLOOKUP(TB_Vendas[[#This Row],[Código]],TB_Produtos[Código],TB_Produtos[Categoria]),DESC_CATEGORIAS,1))</f>
        <v>0</v>
      </c>
      <c r="H5" s="52">
        <f>_xlfn.XLOOKUP(TB_Vendas[[#This Row],[Vendedor]],TB_Vendedores[Código],TB_Vendedores[Desc. Máximo])</f>
        <v>0.25</v>
      </c>
      <c r="I5" s="52">
        <f>IF(TB_Vendas[[#This Row],[Desc. Vendedor]]&gt;=TB_Vendas[[#This Row],[Desconto Calculado]],TB_Vendas[Desconto Calculado],TB_Vendas[Desc. Vendedor])</f>
        <v>0</v>
      </c>
      <c r="J5" s="2">
        <f>TB_Vendas[[#This Row],[Preço Unitário]]*TB_Vendas[[#This Row],[Qtd]]</f>
        <v>39.9</v>
      </c>
      <c r="K5" s="1" t="s">
        <v>116</v>
      </c>
    </row>
    <row r="6" spans="1:11">
      <c r="A6" s="4">
        <f>MONTH(TB_Vendas[[#This Row],[Data]])</f>
        <v>1</v>
      </c>
      <c r="B6" s="4" t="str">
        <f>PROPER(TEXT(DATE(,TB_Vendas[[#This Row],[Nº]],1),"Mmm"))</f>
        <v>Jan</v>
      </c>
      <c r="C6" s="3">
        <v>44932</v>
      </c>
      <c r="D6" s="4" t="s">
        <v>36</v>
      </c>
      <c r="E6" s="1">
        <v>1</v>
      </c>
      <c r="F6" s="8">
        <f>_xlfn.XLOOKUP(TB_Vendas[[#This Row],[Código]],TB_Produtos[Código],TB_Produtos[Preço Unitário])</f>
        <v>259.89999999999998</v>
      </c>
      <c r="G6" s="37">
        <f>INDEX(TB_DESC,MATCH(TB_Vendas[[#This Row],[Qtd]],DESC_QTD,1),MATCH(_xlfn.XLOOKUP(TB_Vendas[[#This Row],[Código]],TB_Produtos[Código],TB_Produtos[Categoria]),DESC_CATEGORIAS,1))</f>
        <v>0</v>
      </c>
      <c r="H6" s="37">
        <f>_xlfn.XLOOKUP(TB_Vendas[[#This Row],[Vendedor]],TB_Vendedores[Código],TB_Vendedores[Desc. Máximo])</f>
        <v>0.25</v>
      </c>
      <c r="I6" s="37">
        <f>IF(TB_Vendas[[#This Row],[Desc. Vendedor]]&gt;=TB_Vendas[[#This Row],[Desconto Calculado]],TB_Vendas[Desconto Calculado],TB_Vendas[Desc. Vendedor])</f>
        <v>0</v>
      </c>
      <c r="J6" s="2">
        <f>TB_Vendas[[#This Row],[Preço Unitário]]*TB_Vendas[[#This Row],[Qtd]]</f>
        <v>259.89999999999998</v>
      </c>
      <c r="K6" s="1" t="s">
        <v>116</v>
      </c>
    </row>
    <row r="7" spans="1:11">
      <c r="A7" s="4">
        <f>MONTH(TB_Vendas[[#This Row],[Data]])</f>
        <v>1</v>
      </c>
      <c r="B7" s="4" t="str">
        <f>PROPER(TEXT(DATE(,TB_Vendas[[#This Row],[Nº]],1),"Mmm"))</f>
        <v>Jan</v>
      </c>
      <c r="C7" s="3">
        <v>44933</v>
      </c>
      <c r="D7" s="4" t="s">
        <v>99</v>
      </c>
      <c r="E7" s="1">
        <v>2</v>
      </c>
      <c r="F7" s="8">
        <f>_xlfn.XLOOKUP(TB_Vendas[[#This Row],[Código]],TB_Produtos[Código],TB_Produtos[Preço Unitário])</f>
        <v>32.9</v>
      </c>
      <c r="G7" s="37">
        <f>INDEX(TB_DESC,MATCH(TB_Vendas[[#This Row],[Qtd]],DESC_QTD,1),MATCH(_xlfn.XLOOKUP(TB_Vendas[[#This Row],[Código]],TB_Produtos[Código],TB_Produtos[Categoria]),DESC_CATEGORIAS,1))</f>
        <v>0.15</v>
      </c>
      <c r="H7" s="37">
        <f>_xlfn.XLOOKUP(TB_Vendas[[#This Row],[Vendedor]],TB_Vendedores[Código],TB_Vendedores[Desc. Máximo])</f>
        <v>0.2</v>
      </c>
      <c r="I7" s="37">
        <f>IF(TB_Vendas[[#This Row],[Desc. Vendedor]]&gt;=TB_Vendas[[#This Row],[Desconto Calculado]],TB_Vendas[Desconto Calculado],TB_Vendas[Desc. Vendedor])</f>
        <v>0.15</v>
      </c>
      <c r="J7" s="2">
        <f>TB_Vendas[[#This Row],[Preço Unitário]]*TB_Vendas[[#This Row],[Qtd]]</f>
        <v>65.8</v>
      </c>
      <c r="K7" s="1" t="s">
        <v>115</v>
      </c>
    </row>
    <row r="8" spans="1:11">
      <c r="A8" s="4">
        <f>MONTH(TB_Vendas[[#This Row],[Data]])</f>
        <v>1</v>
      </c>
      <c r="B8" s="4" t="str">
        <f>PROPER(TEXT(DATE(,TB_Vendas[[#This Row],[Nº]],1),"Mmm"))</f>
        <v>Jan</v>
      </c>
      <c r="C8" s="3">
        <v>44938</v>
      </c>
      <c r="D8" s="4" t="s">
        <v>42</v>
      </c>
      <c r="E8" s="1">
        <v>1</v>
      </c>
      <c r="F8" s="8">
        <f>_xlfn.XLOOKUP(TB_Vendas[[#This Row],[Código]],TB_Produtos[Código],TB_Produtos[Preço Unitário])</f>
        <v>46.9</v>
      </c>
      <c r="G8" s="37">
        <f>INDEX(TB_DESC,MATCH(TB_Vendas[[#This Row],[Qtd]],DESC_QTD,1),MATCH(_xlfn.XLOOKUP(TB_Vendas[[#This Row],[Código]],TB_Produtos[Código],TB_Produtos[Categoria]),DESC_CATEGORIAS,1))</f>
        <v>0.1</v>
      </c>
      <c r="H8" s="37">
        <f>_xlfn.XLOOKUP(TB_Vendas[[#This Row],[Vendedor]],TB_Vendedores[Código],TB_Vendedores[Desc. Máximo])</f>
        <v>0.15</v>
      </c>
      <c r="I8" s="37">
        <f>IF(TB_Vendas[[#This Row],[Desc. Vendedor]]&gt;=TB_Vendas[[#This Row],[Desconto Calculado]],TB_Vendas[Desconto Calculado],TB_Vendas[Desc. Vendedor])</f>
        <v>0.1</v>
      </c>
      <c r="J8" s="2">
        <f>TB_Vendas[[#This Row],[Preço Unitário]]*TB_Vendas[[#This Row],[Qtd]]</f>
        <v>46.9</v>
      </c>
      <c r="K8" s="1" t="s">
        <v>119</v>
      </c>
    </row>
    <row r="9" spans="1:11">
      <c r="A9" s="4">
        <f>MONTH(TB_Vendas[[#This Row],[Data]])</f>
        <v>1</v>
      </c>
      <c r="B9" s="4" t="str">
        <f>PROPER(TEXT(DATE(,TB_Vendas[[#This Row],[Nº]],1),"Mmm"))</f>
        <v>Jan</v>
      </c>
      <c r="C9" s="3">
        <v>44939</v>
      </c>
      <c r="D9" s="4" t="s">
        <v>48</v>
      </c>
      <c r="E9" s="1">
        <v>1</v>
      </c>
      <c r="F9" s="8">
        <f>_xlfn.XLOOKUP(TB_Vendas[[#This Row],[Código]],TB_Produtos[Código],TB_Produtos[Preço Unitário])</f>
        <v>29.9</v>
      </c>
      <c r="G9" s="37">
        <f>INDEX(TB_DESC,MATCH(TB_Vendas[[#This Row],[Qtd]],DESC_QTD,1),MATCH(_xlfn.XLOOKUP(TB_Vendas[[#This Row],[Código]],TB_Produtos[Código],TB_Produtos[Categoria]),DESC_CATEGORIAS,1))</f>
        <v>0.1</v>
      </c>
      <c r="H9" s="37">
        <f>_xlfn.XLOOKUP(TB_Vendas[[#This Row],[Vendedor]],TB_Vendedores[Código],TB_Vendedores[Desc. Máximo])</f>
        <v>0.25</v>
      </c>
      <c r="I9" s="37">
        <f>IF(TB_Vendas[[#This Row],[Desc. Vendedor]]&gt;=TB_Vendas[[#This Row],[Desconto Calculado]],TB_Vendas[Desconto Calculado],TB_Vendas[Desc. Vendedor])</f>
        <v>0.1</v>
      </c>
      <c r="J9" s="2">
        <f>TB_Vendas[[#This Row],[Preço Unitário]]*TB_Vendas[[#This Row],[Qtd]]</f>
        <v>29.9</v>
      </c>
      <c r="K9" s="1" t="s">
        <v>116</v>
      </c>
    </row>
    <row r="10" spans="1:11">
      <c r="A10" s="4">
        <f>MONTH(TB_Vendas[[#This Row],[Data]])</f>
        <v>1</v>
      </c>
      <c r="B10" s="4" t="str">
        <f>PROPER(TEXT(DATE(,TB_Vendas[[#This Row],[Nº]],1),"Mmm"))</f>
        <v>Jan</v>
      </c>
      <c r="C10" s="3">
        <v>44943</v>
      </c>
      <c r="D10" s="4" t="s">
        <v>56</v>
      </c>
      <c r="E10" s="1">
        <v>1</v>
      </c>
      <c r="F10" s="8">
        <f>_xlfn.XLOOKUP(TB_Vendas[[#This Row],[Código]],TB_Produtos[Código],TB_Produtos[Preço Unitário])</f>
        <v>299.89999999999998</v>
      </c>
      <c r="G10" s="37">
        <f>INDEX(TB_DESC,MATCH(TB_Vendas[[#This Row],[Qtd]],DESC_QTD,1),MATCH(_xlfn.XLOOKUP(TB_Vendas[[#This Row],[Código]],TB_Produtos[Código],TB_Produtos[Categoria]),DESC_CATEGORIAS,1))</f>
        <v>0.1</v>
      </c>
      <c r="H10" s="37">
        <f>_xlfn.XLOOKUP(TB_Vendas[[#This Row],[Vendedor]],TB_Vendedores[Código],TB_Vendedores[Desc. Máximo])</f>
        <v>0.15</v>
      </c>
      <c r="I10" s="37">
        <f>IF(TB_Vendas[[#This Row],[Desc. Vendedor]]&gt;=TB_Vendas[[#This Row],[Desconto Calculado]],TB_Vendas[Desconto Calculado],TB_Vendas[Desc. Vendedor])</f>
        <v>0.1</v>
      </c>
      <c r="J10" s="2">
        <f>TB_Vendas[[#This Row],[Preço Unitário]]*TB_Vendas[[#This Row],[Qtd]]</f>
        <v>299.89999999999998</v>
      </c>
      <c r="K10" s="1" t="s">
        <v>119</v>
      </c>
    </row>
    <row r="11" spans="1:11">
      <c r="A11" s="4">
        <f>MONTH(TB_Vendas[[#This Row],[Data]])</f>
        <v>1</v>
      </c>
      <c r="B11" s="4" t="str">
        <f>PROPER(TEXT(DATE(,TB_Vendas[[#This Row],[Nº]],1),"Mmm"))</f>
        <v>Jan</v>
      </c>
      <c r="C11" s="3">
        <v>44949</v>
      </c>
      <c r="D11" s="4" t="s">
        <v>70</v>
      </c>
      <c r="E11" s="1">
        <v>1</v>
      </c>
      <c r="F11" s="8">
        <f>_xlfn.XLOOKUP(TB_Vendas[[#This Row],[Código]],TB_Produtos[Código],TB_Produtos[Preço Unitário])</f>
        <v>146</v>
      </c>
      <c r="G11" s="37">
        <f>INDEX(TB_DESC,MATCH(TB_Vendas[[#This Row],[Qtd]],DESC_QTD,1),MATCH(_xlfn.XLOOKUP(TB_Vendas[[#This Row],[Código]],TB_Produtos[Código],TB_Produtos[Categoria]),DESC_CATEGORIAS,1))</f>
        <v>0.1</v>
      </c>
      <c r="H11" s="37">
        <f>_xlfn.XLOOKUP(TB_Vendas[[#This Row],[Vendedor]],TB_Vendedores[Código],TB_Vendedores[Desc. Máximo])</f>
        <v>0.1</v>
      </c>
      <c r="I11" s="37">
        <f>IF(TB_Vendas[[#This Row],[Desc. Vendedor]]&gt;=TB_Vendas[[#This Row],[Desconto Calculado]],TB_Vendas[Desconto Calculado],TB_Vendas[Desc. Vendedor])</f>
        <v>0.1</v>
      </c>
      <c r="J11" s="2">
        <f>TB_Vendas[[#This Row],[Preço Unitário]]*TB_Vendas[[#This Row],[Qtd]]</f>
        <v>146</v>
      </c>
      <c r="K11" s="1" t="s">
        <v>117</v>
      </c>
    </row>
    <row r="12" spans="1:11">
      <c r="A12" s="4">
        <f>MONTH(TB_Vendas[[#This Row],[Data]])</f>
        <v>1</v>
      </c>
      <c r="B12" s="4" t="str">
        <f>PROPER(TEXT(DATE(,TB_Vendas[[#This Row],[Nº]],1),"Mmm"))</f>
        <v>Jan</v>
      </c>
      <c r="C12" s="3">
        <v>44952</v>
      </c>
      <c r="D12" s="4" t="s">
        <v>65</v>
      </c>
      <c r="E12" s="1">
        <v>2</v>
      </c>
      <c r="F12" s="8">
        <f>_xlfn.XLOOKUP(TB_Vendas[[#This Row],[Código]],TB_Produtos[Código],TB_Produtos[Preço Unitário])</f>
        <v>89.9</v>
      </c>
      <c r="G12" s="37">
        <f>INDEX(TB_DESC,MATCH(TB_Vendas[[#This Row],[Qtd]],DESC_QTD,1),MATCH(_xlfn.XLOOKUP(TB_Vendas[[#This Row],[Código]],TB_Produtos[Código],TB_Produtos[Categoria]),DESC_CATEGORIAS,1))</f>
        <v>0.15</v>
      </c>
      <c r="H12" s="37">
        <f>_xlfn.XLOOKUP(TB_Vendas[[#This Row],[Vendedor]],TB_Vendedores[Código],TB_Vendedores[Desc. Máximo])</f>
        <v>0.1</v>
      </c>
      <c r="I12" s="37">
        <f>IF(TB_Vendas[[#This Row],[Desc. Vendedor]]&gt;=TB_Vendas[[#This Row],[Desconto Calculado]],TB_Vendas[Desconto Calculado],TB_Vendas[Desc. Vendedor])</f>
        <v>0.1</v>
      </c>
      <c r="J12" s="2">
        <f>TB_Vendas[[#This Row],[Preço Unitário]]*TB_Vendas[[#This Row],[Qtd]]</f>
        <v>179.8</v>
      </c>
      <c r="K12" s="1" t="s">
        <v>117</v>
      </c>
    </row>
    <row r="13" spans="1:11">
      <c r="A13" s="4">
        <f>MONTH(TB_Vendas[[#This Row],[Data]])</f>
        <v>1</v>
      </c>
      <c r="B13" s="4" t="str">
        <f>PROPER(TEXT(DATE(,TB_Vendas[[#This Row],[Nº]],1),"Mmm"))</f>
        <v>Jan</v>
      </c>
      <c r="C13" s="3">
        <v>44954</v>
      </c>
      <c r="D13" s="4" t="s">
        <v>63</v>
      </c>
      <c r="E13" s="1">
        <v>2</v>
      </c>
      <c r="F13" s="8">
        <f>_xlfn.XLOOKUP(TB_Vendas[[#This Row],[Código]],TB_Produtos[Código],TB_Produtos[Preço Unitário])</f>
        <v>250</v>
      </c>
      <c r="G13" s="37">
        <f>INDEX(TB_DESC,MATCH(TB_Vendas[[#This Row],[Qtd]],DESC_QTD,1),MATCH(_xlfn.XLOOKUP(TB_Vendas[[#This Row],[Código]],TB_Produtos[Código],TB_Produtos[Categoria]),DESC_CATEGORIAS,1))</f>
        <v>0.05</v>
      </c>
      <c r="H13" s="37">
        <f>_xlfn.XLOOKUP(TB_Vendas[[#This Row],[Vendedor]],TB_Vendedores[Código],TB_Vendedores[Desc. Máximo])</f>
        <v>0.25</v>
      </c>
      <c r="I13" s="37">
        <f>IF(TB_Vendas[[#This Row],[Desc. Vendedor]]&gt;=TB_Vendas[[#This Row],[Desconto Calculado]],TB_Vendas[Desconto Calculado],TB_Vendas[Desc. Vendedor])</f>
        <v>0.05</v>
      </c>
      <c r="J13" s="2">
        <f>TB_Vendas[[#This Row],[Preço Unitário]]*TB_Vendas[[#This Row],[Qtd]]</f>
        <v>500</v>
      </c>
      <c r="K13" s="1" t="s">
        <v>116</v>
      </c>
    </row>
    <row r="14" spans="1:11">
      <c r="A14" s="4">
        <f>MONTH(TB_Vendas[[#This Row],[Data]])</f>
        <v>1</v>
      </c>
      <c r="B14" s="4" t="str">
        <f>PROPER(TEXT(DATE(,TB_Vendas[[#This Row],[Nº]],1),"Mmm"))</f>
        <v>Jan</v>
      </c>
      <c r="C14" s="3">
        <v>44955</v>
      </c>
      <c r="D14" s="4" t="s">
        <v>44</v>
      </c>
      <c r="E14" s="1">
        <v>1</v>
      </c>
      <c r="F14" s="8">
        <f>_xlfn.XLOOKUP(TB_Vendas[[#This Row],[Código]],TB_Produtos[Código],TB_Produtos[Preço Unitário])</f>
        <v>39.9</v>
      </c>
      <c r="G14" s="37">
        <f>INDEX(TB_DESC,MATCH(TB_Vendas[[#This Row],[Qtd]],DESC_QTD,1),MATCH(_xlfn.XLOOKUP(TB_Vendas[[#This Row],[Código]],TB_Produtos[Código],TB_Produtos[Categoria]),DESC_CATEGORIAS,1))</f>
        <v>0.1</v>
      </c>
      <c r="H14" s="37">
        <f>_xlfn.XLOOKUP(TB_Vendas[[#This Row],[Vendedor]],TB_Vendedores[Código],TB_Vendedores[Desc. Máximo])</f>
        <v>0.25</v>
      </c>
      <c r="I14" s="37">
        <f>IF(TB_Vendas[[#This Row],[Desc. Vendedor]]&gt;=TB_Vendas[[#This Row],[Desconto Calculado]],TB_Vendas[Desconto Calculado],TB_Vendas[Desc. Vendedor])</f>
        <v>0.1</v>
      </c>
      <c r="J14" s="2">
        <f>TB_Vendas[[#This Row],[Preço Unitário]]*TB_Vendas[[#This Row],[Qtd]]</f>
        <v>39.9</v>
      </c>
      <c r="K14" s="1" t="s">
        <v>116</v>
      </c>
    </row>
    <row r="15" spans="1:11">
      <c r="A15" s="4">
        <f>MONTH(TB_Vendas[[#This Row],[Data]])</f>
        <v>1</v>
      </c>
      <c r="B15" s="4" t="str">
        <f>PROPER(TEXT(DATE(,TB_Vendas[[#This Row],[Nº]],1),"Mmm"))</f>
        <v>Jan</v>
      </c>
      <c r="C15" s="3">
        <v>44956</v>
      </c>
      <c r="D15" s="4" t="s">
        <v>69</v>
      </c>
      <c r="E15" s="1">
        <v>1</v>
      </c>
      <c r="F15" s="8">
        <f>_xlfn.XLOOKUP(TB_Vendas[[#This Row],[Código]],TB_Produtos[Código],TB_Produtos[Preço Unitário])</f>
        <v>142.9</v>
      </c>
      <c r="G15" s="37">
        <f>INDEX(TB_DESC,MATCH(TB_Vendas[[#This Row],[Qtd]],DESC_QTD,1),MATCH(_xlfn.XLOOKUP(TB_Vendas[[#This Row],[Código]],TB_Produtos[Código],TB_Produtos[Categoria]),DESC_CATEGORIAS,1))</f>
        <v>0.1</v>
      </c>
      <c r="H15" s="37">
        <f>_xlfn.XLOOKUP(TB_Vendas[[#This Row],[Vendedor]],TB_Vendedores[Código],TB_Vendedores[Desc. Máximo])</f>
        <v>0.2</v>
      </c>
      <c r="I15" s="37">
        <f>IF(TB_Vendas[[#This Row],[Desc. Vendedor]]&gt;=TB_Vendas[[#This Row],[Desconto Calculado]],TB_Vendas[Desconto Calculado],TB_Vendas[Desc. Vendedor])</f>
        <v>0.1</v>
      </c>
      <c r="J15" s="2">
        <f>TB_Vendas[[#This Row],[Preço Unitário]]*TB_Vendas[[#This Row],[Qtd]]</f>
        <v>142.9</v>
      </c>
      <c r="K15" s="1" t="s">
        <v>118</v>
      </c>
    </row>
    <row r="16" spans="1:11">
      <c r="A16" s="4">
        <f>MONTH(TB_Vendas[[#This Row],[Data]])</f>
        <v>2</v>
      </c>
      <c r="B16" s="4" t="str">
        <f>PROPER(TEXT(DATE(,TB_Vendas[[#This Row],[Nº]],1),"Mmm"))</f>
        <v>Fev</v>
      </c>
      <c r="C16" s="3">
        <v>44960</v>
      </c>
      <c r="D16" s="4" t="s">
        <v>53</v>
      </c>
      <c r="E16" s="1">
        <v>1</v>
      </c>
      <c r="F16" s="8">
        <f>_xlfn.XLOOKUP(TB_Vendas[[#This Row],[Código]],TB_Produtos[Código],TB_Produtos[Preço Unitário])</f>
        <v>300</v>
      </c>
      <c r="G16" s="37">
        <f>INDEX(TB_DESC,MATCH(TB_Vendas[[#This Row],[Qtd]],DESC_QTD,1),MATCH(_xlfn.XLOOKUP(TB_Vendas[[#This Row],[Código]],TB_Produtos[Código],TB_Produtos[Categoria]),DESC_CATEGORIAS,1))</f>
        <v>0.1</v>
      </c>
      <c r="H16" s="37">
        <f>_xlfn.XLOOKUP(TB_Vendas[[#This Row],[Vendedor]],TB_Vendedores[Código],TB_Vendedores[Desc. Máximo])</f>
        <v>0.1</v>
      </c>
      <c r="I16" s="37">
        <f>IF(TB_Vendas[[#This Row],[Desc. Vendedor]]&gt;=TB_Vendas[[#This Row],[Desconto Calculado]],TB_Vendas[Desconto Calculado],TB_Vendas[Desc. Vendedor])</f>
        <v>0.1</v>
      </c>
      <c r="J16" s="2">
        <f>TB_Vendas[[#This Row],[Preço Unitário]]*TB_Vendas[[#This Row],[Qtd]]</f>
        <v>300</v>
      </c>
      <c r="K16" s="1" t="s">
        <v>117</v>
      </c>
    </row>
    <row r="17" spans="1:11">
      <c r="A17" s="4">
        <f>MONTH(TB_Vendas[[#This Row],[Data]])</f>
        <v>2</v>
      </c>
      <c r="B17" s="4" t="str">
        <f>PROPER(TEXT(DATE(,TB_Vendas[[#This Row],[Nº]],1),"Mmm"))</f>
        <v>Fev</v>
      </c>
      <c r="C17" s="3">
        <v>44962</v>
      </c>
      <c r="D17" s="4" t="s">
        <v>95</v>
      </c>
      <c r="E17" s="1">
        <v>2</v>
      </c>
      <c r="F17" s="8">
        <f>_xlfn.XLOOKUP(TB_Vendas[[#This Row],[Código]],TB_Produtos[Código],TB_Produtos[Preço Unitário])</f>
        <v>289.89999999999998</v>
      </c>
      <c r="G17" s="37">
        <f>INDEX(TB_DESC,MATCH(TB_Vendas[[#This Row],[Qtd]],DESC_QTD,1),MATCH(_xlfn.XLOOKUP(TB_Vendas[[#This Row],[Código]],TB_Produtos[Código],TB_Produtos[Categoria]),DESC_CATEGORIAS,1))</f>
        <v>0.15</v>
      </c>
      <c r="H17" s="37">
        <f>_xlfn.XLOOKUP(TB_Vendas[[#This Row],[Vendedor]],TB_Vendedores[Código],TB_Vendedores[Desc. Máximo])</f>
        <v>0.2</v>
      </c>
      <c r="I17" s="37">
        <f>IF(TB_Vendas[[#This Row],[Desc. Vendedor]]&gt;=TB_Vendas[[#This Row],[Desconto Calculado]],TB_Vendas[Desconto Calculado],TB_Vendas[Desc. Vendedor])</f>
        <v>0.15</v>
      </c>
      <c r="J17" s="2">
        <f>TB_Vendas[[#This Row],[Preço Unitário]]*TB_Vendas[[#This Row],[Qtd]]</f>
        <v>579.79999999999995</v>
      </c>
      <c r="K17" s="1" t="s">
        <v>118</v>
      </c>
    </row>
    <row r="18" spans="1:11">
      <c r="A18" s="4">
        <f>MONTH(TB_Vendas[[#This Row],[Data]])</f>
        <v>2</v>
      </c>
      <c r="B18" s="4" t="str">
        <f>PROPER(TEXT(DATE(,TB_Vendas[[#This Row],[Nº]],1),"Mmm"))</f>
        <v>Fev</v>
      </c>
      <c r="C18" s="3">
        <v>44975</v>
      </c>
      <c r="D18" s="4" t="s">
        <v>59</v>
      </c>
      <c r="E18" s="1">
        <v>1</v>
      </c>
      <c r="F18" s="8">
        <f>_xlfn.XLOOKUP(TB_Vendas[[#This Row],[Código]],TB_Produtos[Código],TB_Produtos[Preço Unitário])</f>
        <v>249.9</v>
      </c>
      <c r="G18" s="37">
        <f>INDEX(TB_DESC,MATCH(TB_Vendas[[#This Row],[Qtd]],DESC_QTD,1),MATCH(_xlfn.XLOOKUP(TB_Vendas[[#This Row],[Código]],TB_Produtos[Código],TB_Produtos[Categoria]),DESC_CATEGORIAS,1))</f>
        <v>0</v>
      </c>
      <c r="H18" s="37">
        <f>_xlfn.XLOOKUP(TB_Vendas[[#This Row],[Vendedor]],TB_Vendedores[Código],TB_Vendedores[Desc. Máximo])</f>
        <v>0.2</v>
      </c>
      <c r="I18" s="37">
        <f>IF(TB_Vendas[[#This Row],[Desc. Vendedor]]&gt;=TB_Vendas[[#This Row],[Desconto Calculado]],TB_Vendas[Desconto Calculado],TB_Vendas[Desc. Vendedor])</f>
        <v>0</v>
      </c>
      <c r="J18" s="2">
        <f>TB_Vendas[[#This Row],[Preço Unitário]]*TB_Vendas[[#This Row],[Qtd]]</f>
        <v>249.9</v>
      </c>
      <c r="K18" s="1" t="s">
        <v>118</v>
      </c>
    </row>
    <row r="19" spans="1:11">
      <c r="A19" s="4">
        <f>MONTH(TB_Vendas[[#This Row],[Data]])</f>
        <v>2</v>
      </c>
      <c r="B19" s="4" t="str">
        <f>PROPER(TEXT(DATE(,TB_Vendas[[#This Row],[Nº]],1),"Mmm"))</f>
        <v>Fev</v>
      </c>
      <c r="C19" s="3">
        <v>44978</v>
      </c>
      <c r="D19" s="4" t="s">
        <v>44</v>
      </c>
      <c r="E19" s="1">
        <v>2</v>
      </c>
      <c r="F19" s="8">
        <f>_xlfn.XLOOKUP(TB_Vendas[[#This Row],[Código]],TB_Produtos[Código],TB_Produtos[Preço Unitário])</f>
        <v>39.9</v>
      </c>
      <c r="G19" s="37">
        <f>INDEX(TB_DESC,MATCH(TB_Vendas[[#This Row],[Qtd]],DESC_QTD,1),MATCH(_xlfn.XLOOKUP(TB_Vendas[[#This Row],[Código]],TB_Produtos[Código],TB_Produtos[Categoria]),DESC_CATEGORIAS,1))</f>
        <v>0.15</v>
      </c>
      <c r="H19" s="37">
        <f>_xlfn.XLOOKUP(TB_Vendas[[#This Row],[Vendedor]],TB_Vendedores[Código],TB_Vendedores[Desc. Máximo])</f>
        <v>0.2</v>
      </c>
      <c r="I19" s="37">
        <f>IF(TB_Vendas[[#This Row],[Desc. Vendedor]]&gt;=TB_Vendas[[#This Row],[Desconto Calculado]],TB_Vendas[Desconto Calculado],TB_Vendas[Desc. Vendedor])</f>
        <v>0.15</v>
      </c>
      <c r="J19" s="2">
        <f>TB_Vendas[[#This Row],[Preço Unitário]]*TB_Vendas[[#This Row],[Qtd]]</f>
        <v>79.8</v>
      </c>
      <c r="K19" s="1" t="s">
        <v>118</v>
      </c>
    </row>
    <row r="20" spans="1:11">
      <c r="A20" s="4">
        <f>MONTH(TB_Vendas[[#This Row],[Data]])</f>
        <v>2</v>
      </c>
      <c r="B20" s="4" t="str">
        <f>PROPER(TEXT(DATE(,TB_Vendas[[#This Row],[Nº]],1),"Mmm"))</f>
        <v>Fev</v>
      </c>
      <c r="C20" s="3">
        <v>44981</v>
      </c>
      <c r="D20" s="4" t="s">
        <v>92</v>
      </c>
      <c r="E20" s="1">
        <v>4</v>
      </c>
      <c r="F20" s="8">
        <f>_xlfn.XLOOKUP(TB_Vendas[[#This Row],[Código]],TB_Produtos[Código],TB_Produtos[Preço Unitário])</f>
        <v>289.89999999999998</v>
      </c>
      <c r="G20" s="37">
        <f>INDEX(TB_DESC,MATCH(TB_Vendas[[#This Row],[Qtd]],DESC_QTD,1),MATCH(_xlfn.XLOOKUP(TB_Vendas[[#This Row],[Código]],TB_Produtos[Código],TB_Produtos[Categoria]),DESC_CATEGORIAS,1))</f>
        <v>0.2</v>
      </c>
      <c r="H20" s="37">
        <f>_xlfn.XLOOKUP(TB_Vendas[[#This Row],[Vendedor]],TB_Vendedores[Código],TB_Vendedores[Desc. Máximo])</f>
        <v>0.2</v>
      </c>
      <c r="I20" s="37">
        <f>IF(TB_Vendas[[#This Row],[Desc. Vendedor]]&gt;=TB_Vendas[[#This Row],[Desconto Calculado]],TB_Vendas[Desconto Calculado],TB_Vendas[Desc. Vendedor])</f>
        <v>0.2</v>
      </c>
      <c r="J20" s="2">
        <f>TB_Vendas[[#This Row],[Preço Unitário]]*TB_Vendas[[#This Row],[Qtd]]</f>
        <v>1159.5999999999999</v>
      </c>
      <c r="K20" s="1" t="s">
        <v>118</v>
      </c>
    </row>
    <row r="21" spans="1:11">
      <c r="A21" s="4">
        <f>MONTH(TB_Vendas[[#This Row],[Data]])</f>
        <v>2</v>
      </c>
      <c r="B21" s="4" t="str">
        <f>PROPER(TEXT(DATE(,TB_Vendas[[#This Row],[Nº]],1),"Mmm"))</f>
        <v>Fev</v>
      </c>
      <c r="C21" s="3">
        <v>44982</v>
      </c>
      <c r="D21" s="4" t="s">
        <v>112</v>
      </c>
      <c r="E21" s="1">
        <v>3</v>
      </c>
      <c r="F21" s="8">
        <f>_xlfn.XLOOKUP(TB_Vendas[[#This Row],[Código]],TB_Produtos[Código],TB_Produtos[Preço Unitário])</f>
        <v>180</v>
      </c>
      <c r="G21" s="37">
        <f>INDEX(TB_DESC,MATCH(TB_Vendas[[#This Row],[Qtd]],DESC_QTD,1),MATCH(_xlfn.XLOOKUP(TB_Vendas[[#This Row],[Código]],TB_Produtos[Código],TB_Produtos[Categoria]),DESC_CATEGORIAS,1))</f>
        <v>0.2</v>
      </c>
      <c r="H21" s="37">
        <f>_xlfn.XLOOKUP(TB_Vendas[[#This Row],[Vendedor]],TB_Vendedores[Código],TB_Vendedores[Desc. Máximo])</f>
        <v>0.25</v>
      </c>
      <c r="I21" s="37">
        <f>IF(TB_Vendas[[#This Row],[Desc. Vendedor]]&gt;=TB_Vendas[[#This Row],[Desconto Calculado]],TB_Vendas[Desconto Calculado],TB_Vendas[Desc. Vendedor])</f>
        <v>0.2</v>
      </c>
      <c r="J21" s="2">
        <f>TB_Vendas[[#This Row],[Preço Unitário]]*TB_Vendas[[#This Row],[Qtd]]</f>
        <v>540</v>
      </c>
      <c r="K21" s="1" t="s">
        <v>116</v>
      </c>
    </row>
    <row r="22" spans="1:11">
      <c r="A22" s="4">
        <f>MONTH(TB_Vendas[[#This Row],[Data]])</f>
        <v>2</v>
      </c>
      <c r="B22" s="4" t="str">
        <f>PROPER(TEXT(DATE(,TB_Vendas[[#This Row],[Nº]],1),"Mmm"))</f>
        <v>Fev</v>
      </c>
      <c r="C22" s="3">
        <v>44983</v>
      </c>
      <c r="D22" s="4" t="s">
        <v>98</v>
      </c>
      <c r="E22" s="1">
        <v>2</v>
      </c>
      <c r="F22" s="8">
        <f>_xlfn.XLOOKUP(TB_Vendas[[#This Row],[Código]],TB_Produtos[Código],TB_Produtos[Preço Unitário])</f>
        <v>32.9</v>
      </c>
      <c r="G22" s="37">
        <f>INDEX(TB_DESC,MATCH(TB_Vendas[[#This Row],[Qtd]],DESC_QTD,1),MATCH(_xlfn.XLOOKUP(TB_Vendas[[#This Row],[Código]],TB_Produtos[Código],TB_Produtos[Categoria]),DESC_CATEGORIAS,1))</f>
        <v>0.15</v>
      </c>
      <c r="H22" s="37">
        <f>_xlfn.XLOOKUP(TB_Vendas[[#This Row],[Vendedor]],TB_Vendedores[Código],TB_Vendedores[Desc. Máximo])</f>
        <v>0.2</v>
      </c>
      <c r="I22" s="37">
        <f>IF(TB_Vendas[[#This Row],[Desc. Vendedor]]&gt;=TB_Vendas[[#This Row],[Desconto Calculado]],TB_Vendas[Desconto Calculado],TB_Vendas[Desc. Vendedor])</f>
        <v>0.15</v>
      </c>
      <c r="J22" s="2">
        <f>TB_Vendas[[#This Row],[Preço Unitário]]*TB_Vendas[[#This Row],[Qtd]]</f>
        <v>65.8</v>
      </c>
      <c r="K22" s="1" t="s">
        <v>115</v>
      </c>
    </row>
    <row r="23" spans="1:11">
      <c r="A23" s="4">
        <f>MONTH(TB_Vendas[[#This Row],[Data]])</f>
        <v>3</v>
      </c>
      <c r="B23" s="4" t="str">
        <f>PROPER(TEXT(DATE(,TB_Vendas[[#This Row],[Nº]],1),"Mmm"))</f>
        <v>Mar</v>
      </c>
      <c r="C23" s="3">
        <v>44986</v>
      </c>
      <c r="D23" s="4" t="s">
        <v>60</v>
      </c>
      <c r="E23" s="1">
        <v>3</v>
      </c>
      <c r="F23" s="8">
        <f>_xlfn.XLOOKUP(TB_Vendas[[#This Row],[Código]],TB_Produtos[Código],TB_Produtos[Preço Unitário])</f>
        <v>255</v>
      </c>
      <c r="G23" s="37">
        <f>INDEX(TB_DESC,MATCH(TB_Vendas[[#This Row],[Qtd]],DESC_QTD,1),MATCH(_xlfn.XLOOKUP(TB_Vendas[[#This Row],[Código]],TB_Produtos[Código],TB_Produtos[Categoria]),DESC_CATEGORIAS,1))</f>
        <v>0.15</v>
      </c>
      <c r="H23" s="37">
        <f>_xlfn.XLOOKUP(TB_Vendas[[#This Row],[Vendedor]],TB_Vendedores[Código],TB_Vendedores[Desc. Máximo])</f>
        <v>0.2</v>
      </c>
      <c r="I23" s="37">
        <f>IF(TB_Vendas[[#This Row],[Desc. Vendedor]]&gt;=TB_Vendas[[#This Row],[Desconto Calculado]],TB_Vendas[Desconto Calculado],TB_Vendas[Desc. Vendedor])</f>
        <v>0.15</v>
      </c>
      <c r="J23" s="2">
        <f>TB_Vendas[[#This Row],[Preço Unitário]]*TB_Vendas[[#This Row],[Qtd]]</f>
        <v>765</v>
      </c>
      <c r="K23" s="1" t="s">
        <v>118</v>
      </c>
    </row>
    <row r="24" spans="1:11">
      <c r="A24" s="4">
        <f>MONTH(TB_Vendas[[#This Row],[Data]])</f>
        <v>3</v>
      </c>
      <c r="B24" s="4" t="str">
        <f>PROPER(TEXT(DATE(,TB_Vendas[[#This Row],[Nº]],1),"Mmm"))</f>
        <v>Mar</v>
      </c>
      <c r="C24" s="3">
        <v>44986</v>
      </c>
      <c r="D24" s="4" t="s">
        <v>69</v>
      </c>
      <c r="E24" s="1">
        <v>1</v>
      </c>
      <c r="F24" s="8">
        <f>_xlfn.XLOOKUP(TB_Vendas[[#This Row],[Código]],TB_Produtos[Código],TB_Produtos[Preço Unitário])</f>
        <v>142.9</v>
      </c>
      <c r="G24" s="37">
        <f>INDEX(TB_DESC,MATCH(TB_Vendas[[#This Row],[Qtd]],DESC_QTD,1),MATCH(_xlfn.XLOOKUP(TB_Vendas[[#This Row],[Código]],TB_Produtos[Código],TB_Produtos[Categoria]),DESC_CATEGORIAS,1))</f>
        <v>0.1</v>
      </c>
      <c r="H24" s="37">
        <f>_xlfn.XLOOKUP(TB_Vendas[[#This Row],[Vendedor]],TB_Vendedores[Código],TB_Vendedores[Desc. Máximo])</f>
        <v>0.2</v>
      </c>
      <c r="I24" s="37">
        <f>IF(TB_Vendas[[#This Row],[Desc. Vendedor]]&gt;=TB_Vendas[[#This Row],[Desconto Calculado]],TB_Vendas[Desconto Calculado],TB_Vendas[Desc. Vendedor])</f>
        <v>0.1</v>
      </c>
      <c r="J24" s="2">
        <f>TB_Vendas[[#This Row],[Preço Unitário]]*TB_Vendas[[#This Row],[Qtd]]</f>
        <v>142.9</v>
      </c>
      <c r="K24" s="1" t="s">
        <v>115</v>
      </c>
    </row>
    <row r="25" spans="1:11">
      <c r="A25" s="4">
        <f>MONTH(TB_Vendas[[#This Row],[Data]])</f>
        <v>3</v>
      </c>
      <c r="B25" s="4" t="str">
        <f>PROPER(TEXT(DATE(,TB_Vendas[[#This Row],[Nº]],1),"Mmm"))</f>
        <v>Mar</v>
      </c>
      <c r="C25" s="3">
        <v>44987</v>
      </c>
      <c r="D25" s="4" t="s">
        <v>40</v>
      </c>
      <c r="E25" s="1">
        <v>4</v>
      </c>
      <c r="F25" s="8">
        <f>_xlfn.XLOOKUP(TB_Vendas[[#This Row],[Código]],TB_Produtos[Código],TB_Produtos[Preço Unitário])</f>
        <v>92.9</v>
      </c>
      <c r="G25" s="37">
        <f>INDEX(TB_DESC,MATCH(TB_Vendas[[#This Row],[Qtd]],DESC_QTD,1),MATCH(_xlfn.XLOOKUP(TB_Vendas[[#This Row],[Código]],TB_Produtos[Código],TB_Produtos[Categoria]),DESC_CATEGORIAS,1))</f>
        <v>0.2</v>
      </c>
      <c r="H25" s="37">
        <f>_xlfn.XLOOKUP(TB_Vendas[[#This Row],[Vendedor]],TB_Vendedores[Código],TB_Vendedores[Desc. Máximo])</f>
        <v>0.1</v>
      </c>
      <c r="I25" s="37">
        <f>IF(TB_Vendas[[#This Row],[Desc. Vendedor]]&gt;=TB_Vendas[[#This Row],[Desconto Calculado]],TB_Vendas[Desconto Calculado],TB_Vendas[Desc. Vendedor])</f>
        <v>0.1</v>
      </c>
      <c r="J25" s="2">
        <f>TB_Vendas[[#This Row],[Preço Unitário]]*TB_Vendas[[#This Row],[Qtd]]</f>
        <v>371.6</v>
      </c>
      <c r="K25" s="1" t="s">
        <v>117</v>
      </c>
    </row>
    <row r="26" spans="1:11">
      <c r="A26" s="4">
        <f>MONTH(TB_Vendas[[#This Row],[Data]])</f>
        <v>3</v>
      </c>
      <c r="B26" s="4" t="str">
        <f>PROPER(TEXT(DATE(,TB_Vendas[[#This Row],[Nº]],1),"Mmm"))</f>
        <v>Mar</v>
      </c>
      <c r="C26" s="3">
        <v>44988</v>
      </c>
      <c r="D26" s="4" t="s">
        <v>87</v>
      </c>
      <c r="E26" s="1">
        <v>2</v>
      </c>
      <c r="F26" s="8">
        <f>_xlfn.XLOOKUP(TB_Vendas[[#This Row],[Código]],TB_Produtos[Código],TB_Produtos[Preço Unitário])</f>
        <v>54.9</v>
      </c>
      <c r="G26" s="37">
        <f>INDEX(TB_DESC,MATCH(TB_Vendas[[#This Row],[Qtd]],DESC_QTD,1),MATCH(_xlfn.XLOOKUP(TB_Vendas[[#This Row],[Código]],TB_Produtos[Código],TB_Produtos[Categoria]),DESC_CATEGORIAS,1))</f>
        <v>0.15</v>
      </c>
      <c r="H26" s="37">
        <f>_xlfn.XLOOKUP(TB_Vendas[[#This Row],[Vendedor]],TB_Vendedores[Código],TB_Vendedores[Desc. Máximo])</f>
        <v>0.2</v>
      </c>
      <c r="I26" s="37">
        <f>IF(TB_Vendas[[#This Row],[Desc. Vendedor]]&gt;=TB_Vendas[[#This Row],[Desconto Calculado]],TB_Vendas[Desconto Calculado],TB_Vendas[Desc. Vendedor])</f>
        <v>0.15</v>
      </c>
      <c r="J26" s="2">
        <f>TB_Vendas[[#This Row],[Preço Unitário]]*TB_Vendas[[#This Row],[Qtd]]</f>
        <v>109.8</v>
      </c>
      <c r="K26" s="1" t="s">
        <v>115</v>
      </c>
    </row>
    <row r="27" spans="1:11">
      <c r="A27" s="4">
        <f>MONTH(TB_Vendas[[#This Row],[Data]])</f>
        <v>3</v>
      </c>
      <c r="B27" s="4" t="str">
        <f>PROPER(TEXT(DATE(,TB_Vendas[[#This Row],[Nº]],1),"Mmm"))</f>
        <v>Mar</v>
      </c>
      <c r="C27" s="3">
        <v>44989</v>
      </c>
      <c r="D27" s="4" t="s">
        <v>69</v>
      </c>
      <c r="E27" s="1">
        <v>3</v>
      </c>
      <c r="F27" s="8">
        <f>_xlfn.XLOOKUP(TB_Vendas[[#This Row],[Código]],TB_Produtos[Código],TB_Produtos[Preço Unitário])</f>
        <v>142.9</v>
      </c>
      <c r="G27" s="37">
        <f>INDEX(TB_DESC,MATCH(TB_Vendas[[#This Row],[Qtd]],DESC_QTD,1),MATCH(_xlfn.XLOOKUP(TB_Vendas[[#This Row],[Código]],TB_Produtos[Código],TB_Produtos[Categoria]),DESC_CATEGORIAS,1))</f>
        <v>0.2</v>
      </c>
      <c r="H27" s="37">
        <f>_xlfn.XLOOKUP(TB_Vendas[[#This Row],[Vendedor]],TB_Vendedores[Código],TB_Vendedores[Desc. Máximo])</f>
        <v>0.25</v>
      </c>
      <c r="I27" s="37">
        <f>IF(TB_Vendas[[#This Row],[Desc. Vendedor]]&gt;=TB_Vendas[[#This Row],[Desconto Calculado]],TB_Vendas[Desconto Calculado],TB_Vendas[Desc. Vendedor])</f>
        <v>0.2</v>
      </c>
      <c r="J27" s="2">
        <f>TB_Vendas[[#This Row],[Preço Unitário]]*TB_Vendas[[#This Row],[Qtd]]</f>
        <v>428.70000000000005</v>
      </c>
      <c r="K27" s="1" t="s">
        <v>116</v>
      </c>
    </row>
    <row r="28" spans="1:11">
      <c r="A28" s="4">
        <f>MONTH(TB_Vendas[[#This Row],[Data]])</f>
        <v>3</v>
      </c>
      <c r="B28" s="4" t="str">
        <f>PROPER(TEXT(DATE(,TB_Vendas[[#This Row],[Nº]],1),"Mmm"))</f>
        <v>Mar</v>
      </c>
      <c r="C28" s="3">
        <v>44994</v>
      </c>
      <c r="D28" s="4" t="s">
        <v>58</v>
      </c>
      <c r="E28" s="1">
        <v>2</v>
      </c>
      <c r="F28" s="8">
        <f>_xlfn.XLOOKUP(TB_Vendas[[#This Row],[Código]],TB_Produtos[Código],TB_Produtos[Preço Unitário])</f>
        <v>120</v>
      </c>
      <c r="G28" s="37">
        <f>INDEX(TB_DESC,MATCH(TB_Vendas[[#This Row],[Qtd]],DESC_QTD,1),MATCH(_xlfn.XLOOKUP(TB_Vendas[[#This Row],[Código]],TB_Produtos[Código],TB_Produtos[Categoria]),DESC_CATEGORIAS,1))</f>
        <v>0.05</v>
      </c>
      <c r="H28" s="37">
        <f>_xlfn.XLOOKUP(TB_Vendas[[#This Row],[Vendedor]],TB_Vendedores[Código],TB_Vendedores[Desc. Máximo])</f>
        <v>0.25</v>
      </c>
      <c r="I28" s="37">
        <f>IF(TB_Vendas[[#This Row],[Desc. Vendedor]]&gt;=TB_Vendas[[#This Row],[Desconto Calculado]],TB_Vendas[Desconto Calculado],TB_Vendas[Desc. Vendedor])</f>
        <v>0.05</v>
      </c>
      <c r="J28" s="2">
        <f>TB_Vendas[[#This Row],[Preço Unitário]]*TB_Vendas[[#This Row],[Qtd]]</f>
        <v>240</v>
      </c>
      <c r="K28" s="1" t="s">
        <v>116</v>
      </c>
    </row>
    <row r="29" spans="1:11">
      <c r="A29" s="4">
        <f>MONTH(TB_Vendas[[#This Row],[Data]])</f>
        <v>3</v>
      </c>
      <c r="B29" s="4" t="str">
        <f>PROPER(TEXT(DATE(,TB_Vendas[[#This Row],[Nº]],1),"Mmm"))</f>
        <v>Mar</v>
      </c>
      <c r="C29" s="3">
        <v>44999</v>
      </c>
      <c r="D29" s="4" t="s">
        <v>32</v>
      </c>
      <c r="E29" s="1">
        <v>1</v>
      </c>
      <c r="F29" s="8">
        <f>_xlfn.XLOOKUP(TB_Vendas[[#This Row],[Código]],TB_Produtos[Código],TB_Produtos[Preço Unitário])</f>
        <v>65.900000000000006</v>
      </c>
      <c r="G29" s="37">
        <f>INDEX(TB_DESC,MATCH(TB_Vendas[[#This Row],[Qtd]],DESC_QTD,1),MATCH(_xlfn.XLOOKUP(TB_Vendas[[#This Row],[Código]],TB_Produtos[Código],TB_Produtos[Categoria]),DESC_CATEGORIAS,1))</f>
        <v>0.1</v>
      </c>
      <c r="H29" s="37">
        <f>_xlfn.XLOOKUP(TB_Vendas[[#This Row],[Vendedor]],TB_Vendedores[Código],TB_Vendedores[Desc. Máximo])</f>
        <v>0.2</v>
      </c>
      <c r="I29" s="37">
        <f>IF(TB_Vendas[[#This Row],[Desc. Vendedor]]&gt;=TB_Vendas[[#This Row],[Desconto Calculado]],TB_Vendas[Desconto Calculado],TB_Vendas[Desc. Vendedor])</f>
        <v>0.1</v>
      </c>
      <c r="J29" s="2">
        <f>TB_Vendas[[#This Row],[Preço Unitário]]*TB_Vendas[[#This Row],[Qtd]]</f>
        <v>65.900000000000006</v>
      </c>
      <c r="K29" s="1" t="s">
        <v>118</v>
      </c>
    </row>
    <row r="30" spans="1:11">
      <c r="A30" s="4">
        <f>MONTH(TB_Vendas[[#This Row],[Data]])</f>
        <v>3</v>
      </c>
      <c r="B30" s="4" t="str">
        <f>PROPER(TEXT(DATE(,TB_Vendas[[#This Row],[Nº]],1),"Mmm"))</f>
        <v>Mar</v>
      </c>
      <c r="C30" s="3">
        <v>45004</v>
      </c>
      <c r="D30" s="4" t="s">
        <v>96</v>
      </c>
      <c r="E30" s="1">
        <v>5</v>
      </c>
      <c r="F30" s="8">
        <f>_xlfn.XLOOKUP(TB_Vendas[[#This Row],[Código]],TB_Produtos[Código],TB_Produtos[Preço Unitário])</f>
        <v>32.9</v>
      </c>
      <c r="G30" s="37">
        <f>INDEX(TB_DESC,MATCH(TB_Vendas[[#This Row],[Qtd]],DESC_QTD,1),MATCH(_xlfn.XLOOKUP(TB_Vendas[[#This Row],[Código]],TB_Produtos[Código],TB_Produtos[Categoria]),DESC_CATEGORIAS,1))</f>
        <v>0.25</v>
      </c>
      <c r="H30" s="37">
        <f>_xlfn.XLOOKUP(TB_Vendas[[#This Row],[Vendedor]],TB_Vendedores[Código],TB_Vendedores[Desc. Máximo])</f>
        <v>0.15</v>
      </c>
      <c r="I30" s="37">
        <f>IF(TB_Vendas[[#This Row],[Desc. Vendedor]]&gt;=TB_Vendas[[#This Row],[Desconto Calculado]],TB_Vendas[Desconto Calculado],TB_Vendas[Desc. Vendedor])</f>
        <v>0.15</v>
      </c>
      <c r="J30" s="2">
        <f>TB_Vendas[[#This Row],[Preço Unitário]]*TB_Vendas[[#This Row],[Qtd]]</f>
        <v>164.5</v>
      </c>
      <c r="K30" s="1" t="s">
        <v>119</v>
      </c>
    </row>
    <row r="31" spans="1:11">
      <c r="A31" s="4">
        <f>MONTH(TB_Vendas[[#This Row],[Data]])</f>
        <v>3</v>
      </c>
      <c r="B31" s="4" t="str">
        <f>PROPER(TEXT(DATE(,TB_Vendas[[#This Row],[Nº]],1),"Mmm"))</f>
        <v>Mar</v>
      </c>
      <c r="C31" s="3">
        <v>45006</v>
      </c>
      <c r="D31" s="4" t="s">
        <v>111</v>
      </c>
      <c r="E31" s="1">
        <v>2</v>
      </c>
      <c r="F31" s="8">
        <f>_xlfn.XLOOKUP(TB_Vendas[[#This Row],[Código]],TB_Produtos[Código],TB_Produtos[Preço Unitário])</f>
        <v>180</v>
      </c>
      <c r="G31" s="37">
        <f>INDEX(TB_DESC,MATCH(TB_Vendas[[#This Row],[Qtd]],DESC_QTD,1),MATCH(_xlfn.XLOOKUP(TB_Vendas[[#This Row],[Código]],TB_Produtos[Código],TB_Produtos[Categoria]),DESC_CATEGORIAS,1))</f>
        <v>0.15</v>
      </c>
      <c r="H31" s="37">
        <f>_xlfn.XLOOKUP(TB_Vendas[[#This Row],[Vendedor]],TB_Vendedores[Código],TB_Vendedores[Desc. Máximo])</f>
        <v>0.25</v>
      </c>
      <c r="I31" s="37">
        <f>IF(TB_Vendas[[#This Row],[Desc. Vendedor]]&gt;=TB_Vendas[[#This Row],[Desconto Calculado]],TB_Vendas[Desconto Calculado],TB_Vendas[Desc. Vendedor])</f>
        <v>0.15</v>
      </c>
      <c r="J31" s="2">
        <f>TB_Vendas[[#This Row],[Preço Unitário]]*TB_Vendas[[#This Row],[Qtd]]</f>
        <v>360</v>
      </c>
      <c r="K31" s="1" t="s">
        <v>116</v>
      </c>
    </row>
    <row r="32" spans="1:11">
      <c r="A32" s="4">
        <f>MONTH(TB_Vendas[[#This Row],[Data]])</f>
        <v>3</v>
      </c>
      <c r="B32" s="4" t="str">
        <f>PROPER(TEXT(DATE(,TB_Vendas[[#This Row],[Nº]],1),"Mmm"))</f>
        <v>Mar</v>
      </c>
      <c r="C32" s="3">
        <v>45010</v>
      </c>
      <c r="D32" s="4" t="s">
        <v>57</v>
      </c>
      <c r="E32" s="1">
        <v>3</v>
      </c>
      <c r="F32" s="8">
        <f>_xlfn.XLOOKUP(TB_Vendas[[#This Row],[Código]],TB_Produtos[Código],TB_Produtos[Preço Unitário])</f>
        <v>349.9</v>
      </c>
      <c r="G32" s="37">
        <f>INDEX(TB_DESC,MATCH(TB_Vendas[[#This Row],[Qtd]],DESC_QTD,1),MATCH(_xlfn.XLOOKUP(TB_Vendas[[#This Row],[Código]],TB_Produtos[Código],TB_Produtos[Categoria]),DESC_CATEGORIAS,1))</f>
        <v>0.15</v>
      </c>
      <c r="H32" s="37">
        <f>_xlfn.XLOOKUP(TB_Vendas[[#This Row],[Vendedor]],TB_Vendedores[Código],TB_Vendedores[Desc. Máximo])</f>
        <v>0.2</v>
      </c>
      <c r="I32" s="37">
        <f>IF(TB_Vendas[[#This Row],[Desc. Vendedor]]&gt;=TB_Vendas[[#This Row],[Desconto Calculado]],TB_Vendas[Desconto Calculado],TB_Vendas[Desc. Vendedor])</f>
        <v>0.15</v>
      </c>
      <c r="J32" s="2">
        <f>TB_Vendas[[#This Row],[Preço Unitário]]*TB_Vendas[[#This Row],[Qtd]]</f>
        <v>1049.6999999999998</v>
      </c>
      <c r="K32" s="1" t="s">
        <v>115</v>
      </c>
    </row>
    <row r="33" spans="1:11">
      <c r="A33" s="4">
        <f>MONTH(TB_Vendas[[#This Row],[Data]])</f>
        <v>4</v>
      </c>
      <c r="B33" s="4" t="str">
        <f>PROPER(TEXT(DATE(,TB_Vendas[[#This Row],[Nº]],1),"Mmm"))</f>
        <v>Abr</v>
      </c>
      <c r="C33" s="3">
        <v>45018</v>
      </c>
      <c r="D33" s="4" t="s">
        <v>90</v>
      </c>
      <c r="E33" s="1">
        <v>1</v>
      </c>
      <c r="F33" s="8">
        <f>_xlfn.XLOOKUP(TB_Vendas[[#This Row],[Código]],TB_Produtos[Código],TB_Produtos[Preço Unitário])</f>
        <v>72.5</v>
      </c>
      <c r="G33" s="37">
        <f>INDEX(TB_DESC,MATCH(TB_Vendas[[#This Row],[Qtd]],DESC_QTD,1),MATCH(_xlfn.XLOOKUP(TB_Vendas[[#This Row],[Código]],TB_Produtos[Código],TB_Produtos[Categoria]),DESC_CATEGORIAS,1))</f>
        <v>0.1</v>
      </c>
      <c r="H33" s="37">
        <f>_xlfn.XLOOKUP(TB_Vendas[[#This Row],[Vendedor]],TB_Vendedores[Código],TB_Vendedores[Desc. Máximo])</f>
        <v>0.1</v>
      </c>
      <c r="I33" s="37">
        <f>IF(TB_Vendas[[#This Row],[Desc. Vendedor]]&gt;=TB_Vendas[[#This Row],[Desconto Calculado]],TB_Vendas[Desconto Calculado],TB_Vendas[Desc. Vendedor])</f>
        <v>0.1</v>
      </c>
      <c r="J33" s="2">
        <f>TB_Vendas[[#This Row],[Preço Unitário]]*TB_Vendas[[#This Row],[Qtd]]</f>
        <v>72.5</v>
      </c>
      <c r="K33" s="1" t="s">
        <v>117</v>
      </c>
    </row>
    <row r="34" spans="1:11">
      <c r="A34" s="4">
        <f>MONTH(TB_Vendas[[#This Row],[Data]])</f>
        <v>4</v>
      </c>
      <c r="B34" s="4" t="str">
        <f>PROPER(TEXT(DATE(,TB_Vendas[[#This Row],[Nº]],1),"Mmm"))</f>
        <v>Abr</v>
      </c>
      <c r="C34" s="3">
        <v>45020</v>
      </c>
      <c r="D34" s="4" t="s">
        <v>55</v>
      </c>
      <c r="E34" s="1">
        <v>4</v>
      </c>
      <c r="F34" s="8">
        <f>_xlfn.XLOOKUP(TB_Vendas[[#This Row],[Código]],TB_Produtos[Código],TB_Produtos[Preço Unitário])</f>
        <v>259.89999999999998</v>
      </c>
      <c r="G34" s="37">
        <f>INDEX(TB_DESC,MATCH(TB_Vendas[[#This Row],[Qtd]],DESC_QTD,1),MATCH(_xlfn.XLOOKUP(TB_Vendas[[#This Row],[Código]],TB_Produtos[Código],TB_Produtos[Categoria]),DESC_CATEGORIAS,1))</f>
        <v>0.2</v>
      </c>
      <c r="H34" s="37">
        <f>_xlfn.XLOOKUP(TB_Vendas[[#This Row],[Vendedor]],TB_Vendedores[Código],TB_Vendedores[Desc. Máximo])</f>
        <v>0.2</v>
      </c>
      <c r="I34" s="37">
        <f>IF(TB_Vendas[[#This Row],[Desc. Vendedor]]&gt;=TB_Vendas[[#This Row],[Desconto Calculado]],TB_Vendas[Desconto Calculado],TB_Vendas[Desc. Vendedor])</f>
        <v>0.2</v>
      </c>
      <c r="J34" s="2">
        <f>TB_Vendas[[#This Row],[Preço Unitário]]*TB_Vendas[[#This Row],[Qtd]]</f>
        <v>1039.5999999999999</v>
      </c>
      <c r="K34" s="1" t="s">
        <v>115</v>
      </c>
    </row>
    <row r="35" spans="1:11">
      <c r="A35" s="4">
        <f>MONTH(TB_Vendas[[#This Row],[Data]])</f>
        <v>4</v>
      </c>
      <c r="B35" s="4" t="str">
        <f>PROPER(TEXT(DATE(,TB_Vendas[[#This Row],[Nº]],1),"Mmm"))</f>
        <v>Abr</v>
      </c>
      <c r="C35" s="3">
        <v>45024</v>
      </c>
      <c r="D35" s="4" t="s">
        <v>47</v>
      </c>
      <c r="E35" s="1">
        <v>3</v>
      </c>
      <c r="F35" s="8">
        <f>_xlfn.XLOOKUP(TB_Vendas[[#This Row],[Código]],TB_Produtos[Código],TB_Produtos[Preço Unitário])</f>
        <v>25.9</v>
      </c>
      <c r="G35" s="37">
        <f>INDEX(TB_DESC,MATCH(TB_Vendas[[#This Row],[Qtd]],DESC_QTD,1),MATCH(_xlfn.XLOOKUP(TB_Vendas[[#This Row],[Código]],TB_Produtos[Código],TB_Produtos[Categoria]),DESC_CATEGORIAS,1))</f>
        <v>0.2</v>
      </c>
      <c r="H35" s="37">
        <f>_xlfn.XLOOKUP(TB_Vendas[[#This Row],[Vendedor]],TB_Vendedores[Código],TB_Vendedores[Desc. Máximo])</f>
        <v>0.25</v>
      </c>
      <c r="I35" s="37">
        <f>IF(TB_Vendas[[#This Row],[Desc. Vendedor]]&gt;=TB_Vendas[[#This Row],[Desconto Calculado]],TB_Vendas[Desconto Calculado],TB_Vendas[Desc. Vendedor])</f>
        <v>0.2</v>
      </c>
      <c r="J35" s="2">
        <f>TB_Vendas[[#This Row],[Preço Unitário]]*TB_Vendas[[#This Row],[Qtd]]</f>
        <v>77.699999999999989</v>
      </c>
      <c r="K35" s="1" t="s">
        <v>116</v>
      </c>
    </row>
    <row r="36" spans="1:11">
      <c r="A36" s="4">
        <f>MONTH(TB_Vendas[[#This Row],[Data]])</f>
        <v>4</v>
      </c>
      <c r="B36" s="4" t="str">
        <f>PROPER(TEXT(DATE(,TB_Vendas[[#This Row],[Nº]],1),"Mmm"))</f>
        <v>Abr</v>
      </c>
      <c r="C36" s="3">
        <v>45027</v>
      </c>
      <c r="D36" s="4" t="s">
        <v>35</v>
      </c>
      <c r="E36" s="1">
        <v>2</v>
      </c>
      <c r="F36" s="8">
        <f>_xlfn.XLOOKUP(TB_Vendas[[#This Row],[Código]],TB_Produtos[Código],TB_Produtos[Preço Unitário])</f>
        <v>145</v>
      </c>
      <c r="G36" s="37">
        <f>INDEX(TB_DESC,MATCH(TB_Vendas[[#This Row],[Qtd]],DESC_QTD,1),MATCH(_xlfn.XLOOKUP(TB_Vendas[[#This Row],[Código]],TB_Produtos[Código],TB_Produtos[Categoria]),DESC_CATEGORIAS,1))</f>
        <v>0.05</v>
      </c>
      <c r="H36" s="37">
        <f>_xlfn.XLOOKUP(TB_Vendas[[#This Row],[Vendedor]],TB_Vendedores[Código],TB_Vendedores[Desc. Máximo])</f>
        <v>0.2</v>
      </c>
      <c r="I36" s="37">
        <f>IF(TB_Vendas[[#This Row],[Desc. Vendedor]]&gt;=TB_Vendas[[#This Row],[Desconto Calculado]],TB_Vendas[Desconto Calculado],TB_Vendas[Desc. Vendedor])</f>
        <v>0.05</v>
      </c>
      <c r="J36" s="2">
        <f>TB_Vendas[[#This Row],[Preço Unitário]]*TB_Vendas[[#This Row],[Qtd]]</f>
        <v>290</v>
      </c>
      <c r="K36" s="1" t="s">
        <v>115</v>
      </c>
    </row>
    <row r="37" spans="1:11">
      <c r="A37" s="4">
        <f>MONTH(TB_Vendas[[#This Row],[Data]])</f>
        <v>4</v>
      </c>
      <c r="B37" s="4" t="str">
        <f>PROPER(TEXT(DATE(,TB_Vendas[[#This Row],[Nº]],1),"Mmm"))</f>
        <v>Abr</v>
      </c>
      <c r="C37" s="3">
        <v>45028</v>
      </c>
      <c r="D37" s="4" t="s">
        <v>37</v>
      </c>
      <c r="E37" s="1">
        <v>1</v>
      </c>
      <c r="F37" s="8">
        <f>_xlfn.XLOOKUP(TB_Vendas[[#This Row],[Código]],TB_Produtos[Código],TB_Produtos[Preço Unitário])</f>
        <v>39.9</v>
      </c>
      <c r="G37" s="37">
        <f>INDEX(TB_DESC,MATCH(TB_Vendas[[#This Row],[Qtd]],DESC_QTD,1),MATCH(_xlfn.XLOOKUP(TB_Vendas[[#This Row],[Código]],TB_Produtos[Código],TB_Produtos[Categoria]),DESC_CATEGORIAS,1))</f>
        <v>0</v>
      </c>
      <c r="H37" s="37">
        <f>_xlfn.XLOOKUP(TB_Vendas[[#This Row],[Vendedor]],TB_Vendedores[Código],TB_Vendedores[Desc. Máximo])</f>
        <v>0.25</v>
      </c>
      <c r="I37" s="37">
        <f>IF(TB_Vendas[[#This Row],[Desc. Vendedor]]&gt;=TB_Vendas[[#This Row],[Desconto Calculado]],TB_Vendas[Desconto Calculado],TB_Vendas[Desc. Vendedor])</f>
        <v>0</v>
      </c>
      <c r="J37" s="2">
        <f>TB_Vendas[[#This Row],[Preço Unitário]]*TB_Vendas[[#This Row],[Qtd]]</f>
        <v>39.9</v>
      </c>
      <c r="K37" s="1" t="s">
        <v>116</v>
      </c>
    </row>
    <row r="38" spans="1:11">
      <c r="A38" s="4">
        <f>MONTH(TB_Vendas[[#This Row],[Data]])</f>
        <v>4</v>
      </c>
      <c r="B38" s="4" t="str">
        <f>PROPER(TEXT(DATE(,TB_Vendas[[#This Row],[Nº]],1),"Mmm"))</f>
        <v>Abr</v>
      </c>
      <c r="C38" s="3">
        <v>45029</v>
      </c>
      <c r="D38" s="4" t="s">
        <v>57</v>
      </c>
      <c r="E38" s="1">
        <v>3</v>
      </c>
      <c r="F38" s="8">
        <f>_xlfn.XLOOKUP(TB_Vendas[[#This Row],[Código]],TB_Produtos[Código],TB_Produtos[Preço Unitário])</f>
        <v>349.9</v>
      </c>
      <c r="G38" s="37">
        <f>INDEX(TB_DESC,MATCH(TB_Vendas[[#This Row],[Qtd]],DESC_QTD,1),MATCH(_xlfn.XLOOKUP(TB_Vendas[[#This Row],[Código]],TB_Produtos[Código],TB_Produtos[Categoria]),DESC_CATEGORIAS,1))</f>
        <v>0.15</v>
      </c>
      <c r="H38" s="37">
        <f>_xlfn.XLOOKUP(TB_Vendas[[#This Row],[Vendedor]],TB_Vendedores[Código],TB_Vendedores[Desc. Máximo])</f>
        <v>0.2</v>
      </c>
      <c r="I38" s="37">
        <f>IF(TB_Vendas[[#This Row],[Desc. Vendedor]]&gt;=TB_Vendas[[#This Row],[Desconto Calculado]],TB_Vendas[Desconto Calculado],TB_Vendas[Desc. Vendedor])</f>
        <v>0.15</v>
      </c>
      <c r="J38" s="2">
        <f>TB_Vendas[[#This Row],[Preço Unitário]]*TB_Vendas[[#This Row],[Qtd]]</f>
        <v>1049.6999999999998</v>
      </c>
      <c r="K38" s="1" t="s">
        <v>118</v>
      </c>
    </row>
    <row r="39" spans="1:11">
      <c r="A39" s="4">
        <f>MONTH(TB_Vendas[[#This Row],[Data]])</f>
        <v>4</v>
      </c>
      <c r="B39" s="4" t="str">
        <f>PROPER(TEXT(DATE(,TB_Vendas[[#This Row],[Nº]],1),"Mmm"))</f>
        <v>Abr</v>
      </c>
      <c r="C39" s="3">
        <v>45031</v>
      </c>
      <c r="D39" s="4" t="s">
        <v>107</v>
      </c>
      <c r="E39" s="1">
        <v>4</v>
      </c>
      <c r="F39" s="8">
        <f>_xlfn.XLOOKUP(TB_Vendas[[#This Row],[Código]],TB_Produtos[Código],TB_Produtos[Preço Unitário])</f>
        <v>89.9</v>
      </c>
      <c r="G39" s="37">
        <f>INDEX(TB_DESC,MATCH(TB_Vendas[[#This Row],[Qtd]],DESC_QTD,1),MATCH(_xlfn.XLOOKUP(TB_Vendas[[#This Row],[Código]],TB_Produtos[Código],TB_Produtos[Categoria]),DESC_CATEGORIAS,1))</f>
        <v>0.15</v>
      </c>
      <c r="H39" s="37">
        <f>_xlfn.XLOOKUP(TB_Vendas[[#This Row],[Vendedor]],TB_Vendedores[Código],TB_Vendedores[Desc. Máximo])</f>
        <v>0.2</v>
      </c>
      <c r="I39" s="37">
        <f>IF(TB_Vendas[[#This Row],[Desc. Vendedor]]&gt;=TB_Vendas[[#This Row],[Desconto Calculado]],TB_Vendas[Desconto Calculado],TB_Vendas[Desc. Vendedor])</f>
        <v>0.15</v>
      </c>
      <c r="J39" s="2">
        <f>TB_Vendas[[#This Row],[Preço Unitário]]*TB_Vendas[[#This Row],[Qtd]]</f>
        <v>359.6</v>
      </c>
      <c r="K39" s="1" t="s">
        <v>115</v>
      </c>
    </row>
    <row r="40" spans="1:11">
      <c r="A40" s="4">
        <f>MONTH(TB_Vendas[[#This Row],[Data]])</f>
        <v>4</v>
      </c>
      <c r="B40" s="4" t="str">
        <f>PROPER(TEXT(DATE(,TB_Vendas[[#This Row],[Nº]],1),"Mmm"))</f>
        <v>Abr</v>
      </c>
      <c r="C40" s="3">
        <v>45038</v>
      </c>
      <c r="D40" s="4" t="s">
        <v>104</v>
      </c>
      <c r="E40" s="1">
        <v>2</v>
      </c>
      <c r="F40" s="8">
        <f>_xlfn.XLOOKUP(TB_Vendas[[#This Row],[Código]],TB_Produtos[Código],TB_Produtos[Preço Unitário])</f>
        <v>89.9</v>
      </c>
      <c r="G40" s="37">
        <f>INDEX(TB_DESC,MATCH(TB_Vendas[[#This Row],[Qtd]],DESC_QTD,1),MATCH(_xlfn.XLOOKUP(TB_Vendas[[#This Row],[Código]],TB_Produtos[Código],TB_Produtos[Categoria]),DESC_CATEGORIAS,1))</f>
        <v>0.05</v>
      </c>
      <c r="H40" s="37">
        <f>_xlfn.XLOOKUP(TB_Vendas[[#This Row],[Vendedor]],TB_Vendedores[Código],TB_Vendedores[Desc. Máximo])</f>
        <v>0.2</v>
      </c>
      <c r="I40" s="37">
        <f>IF(TB_Vendas[[#This Row],[Desc. Vendedor]]&gt;=TB_Vendas[[#This Row],[Desconto Calculado]],TB_Vendas[Desconto Calculado],TB_Vendas[Desc. Vendedor])</f>
        <v>0.05</v>
      </c>
      <c r="J40" s="2">
        <f>TB_Vendas[[#This Row],[Preço Unitário]]*TB_Vendas[[#This Row],[Qtd]]</f>
        <v>179.8</v>
      </c>
      <c r="K40" s="1" t="s">
        <v>118</v>
      </c>
    </row>
    <row r="41" spans="1:11">
      <c r="A41" s="4">
        <f>MONTH(TB_Vendas[[#This Row],[Data]])</f>
        <v>4</v>
      </c>
      <c r="B41" s="4" t="str">
        <f>PROPER(TEXT(DATE(,TB_Vendas[[#This Row],[Nº]],1),"Mmm"))</f>
        <v>Abr</v>
      </c>
      <c r="C41" s="3">
        <v>45039</v>
      </c>
      <c r="D41" s="4" t="s">
        <v>33</v>
      </c>
      <c r="E41" s="1">
        <v>3</v>
      </c>
      <c r="F41" s="8">
        <f>_xlfn.XLOOKUP(TB_Vendas[[#This Row],[Código]],TB_Produtos[Código],TB_Produtos[Preço Unitário])</f>
        <v>69.900000000000006</v>
      </c>
      <c r="G41" s="37">
        <f>INDEX(TB_DESC,MATCH(TB_Vendas[[#This Row],[Qtd]],DESC_QTD,1),MATCH(_xlfn.XLOOKUP(TB_Vendas[[#This Row],[Código]],TB_Produtos[Código],TB_Produtos[Categoria]),DESC_CATEGORIAS,1))</f>
        <v>0.2</v>
      </c>
      <c r="H41" s="37">
        <f>_xlfn.XLOOKUP(TB_Vendas[[#This Row],[Vendedor]],TB_Vendedores[Código],TB_Vendedores[Desc. Máximo])</f>
        <v>0.2</v>
      </c>
      <c r="I41" s="37">
        <f>IF(TB_Vendas[[#This Row],[Desc. Vendedor]]&gt;=TB_Vendas[[#This Row],[Desconto Calculado]],TB_Vendas[Desconto Calculado],TB_Vendas[Desc. Vendedor])</f>
        <v>0.2</v>
      </c>
      <c r="J41" s="2">
        <f>TB_Vendas[[#This Row],[Preço Unitário]]*TB_Vendas[[#This Row],[Qtd]]</f>
        <v>209.70000000000002</v>
      </c>
      <c r="K41" s="1" t="s">
        <v>115</v>
      </c>
    </row>
    <row r="42" spans="1:11">
      <c r="A42" s="4">
        <f>MONTH(TB_Vendas[[#This Row],[Data]])</f>
        <v>4</v>
      </c>
      <c r="B42" s="4" t="str">
        <f>PROPER(TEXT(DATE(,TB_Vendas[[#This Row],[Nº]],1),"Mmm"))</f>
        <v>Abr</v>
      </c>
      <c r="C42" s="3">
        <v>45042</v>
      </c>
      <c r="D42" s="4" t="s">
        <v>35</v>
      </c>
      <c r="E42" s="1">
        <v>1</v>
      </c>
      <c r="F42" s="8">
        <f>_xlfn.XLOOKUP(TB_Vendas[[#This Row],[Código]],TB_Produtos[Código],TB_Produtos[Preço Unitário])</f>
        <v>145</v>
      </c>
      <c r="G42" s="37">
        <f>INDEX(TB_DESC,MATCH(TB_Vendas[[#This Row],[Qtd]],DESC_QTD,1),MATCH(_xlfn.XLOOKUP(TB_Vendas[[#This Row],[Código]],TB_Produtos[Código],TB_Produtos[Categoria]),DESC_CATEGORIAS,1))</f>
        <v>0</v>
      </c>
      <c r="H42" s="37">
        <f>_xlfn.XLOOKUP(TB_Vendas[[#This Row],[Vendedor]],TB_Vendedores[Código],TB_Vendedores[Desc. Máximo])</f>
        <v>0.15</v>
      </c>
      <c r="I42" s="37">
        <f>IF(TB_Vendas[[#This Row],[Desc. Vendedor]]&gt;=TB_Vendas[[#This Row],[Desconto Calculado]],TB_Vendas[Desconto Calculado],TB_Vendas[Desc. Vendedor])</f>
        <v>0</v>
      </c>
      <c r="J42" s="2">
        <f>TB_Vendas[[#This Row],[Preço Unitário]]*TB_Vendas[[#This Row],[Qtd]]</f>
        <v>145</v>
      </c>
      <c r="K42" s="1" t="s">
        <v>119</v>
      </c>
    </row>
    <row r="43" spans="1:11">
      <c r="A43" s="4">
        <f>MONTH(TB_Vendas[[#This Row],[Data]])</f>
        <v>4</v>
      </c>
      <c r="B43" s="4" t="str">
        <f>PROPER(TEXT(DATE(,TB_Vendas[[#This Row],[Nº]],1),"Mmm"))</f>
        <v>Abr</v>
      </c>
      <c r="C43" s="3">
        <v>45043</v>
      </c>
      <c r="D43" s="4" t="s">
        <v>42</v>
      </c>
      <c r="E43" s="1">
        <v>4</v>
      </c>
      <c r="F43" s="8">
        <f>_xlfn.XLOOKUP(TB_Vendas[[#This Row],[Código]],TB_Produtos[Código],TB_Produtos[Preço Unitário])</f>
        <v>46.9</v>
      </c>
      <c r="G43" s="37">
        <f>INDEX(TB_DESC,MATCH(TB_Vendas[[#This Row],[Qtd]],DESC_QTD,1),MATCH(_xlfn.XLOOKUP(TB_Vendas[[#This Row],[Código]],TB_Produtos[Código],TB_Produtos[Categoria]),DESC_CATEGORIAS,1))</f>
        <v>0.2</v>
      </c>
      <c r="H43" s="37">
        <f>_xlfn.XLOOKUP(TB_Vendas[[#This Row],[Vendedor]],TB_Vendedores[Código],TB_Vendedores[Desc. Máximo])</f>
        <v>0.2</v>
      </c>
      <c r="I43" s="37">
        <f>IF(TB_Vendas[[#This Row],[Desc. Vendedor]]&gt;=TB_Vendas[[#This Row],[Desconto Calculado]],TB_Vendas[Desconto Calculado],TB_Vendas[Desc. Vendedor])</f>
        <v>0.2</v>
      </c>
      <c r="J43" s="2">
        <f>TB_Vendas[[#This Row],[Preço Unitário]]*TB_Vendas[[#This Row],[Qtd]]</f>
        <v>187.6</v>
      </c>
      <c r="K43" s="1" t="s">
        <v>115</v>
      </c>
    </row>
    <row r="44" spans="1:11">
      <c r="A44" s="4">
        <f>MONTH(TB_Vendas[[#This Row],[Data]])</f>
        <v>5</v>
      </c>
      <c r="B44" s="4" t="str">
        <f>PROPER(TEXT(DATE(,TB_Vendas[[#This Row],[Nº]],1),"Mmm"))</f>
        <v>Mai</v>
      </c>
      <c r="C44" s="3">
        <v>45054</v>
      </c>
      <c r="D44" s="4" t="s">
        <v>88</v>
      </c>
      <c r="E44" s="1">
        <v>2</v>
      </c>
      <c r="F44" s="8">
        <f>_xlfn.XLOOKUP(TB_Vendas[[#This Row],[Código]],TB_Produtos[Código],TB_Produtos[Preço Unitário])</f>
        <v>72.5</v>
      </c>
      <c r="G44" s="37">
        <f>INDEX(TB_DESC,MATCH(TB_Vendas[[#This Row],[Qtd]],DESC_QTD,1),MATCH(_xlfn.XLOOKUP(TB_Vendas[[#This Row],[Código]],TB_Produtos[Código],TB_Produtos[Categoria]),DESC_CATEGORIAS,1))</f>
        <v>0.15</v>
      </c>
      <c r="H44" s="37">
        <f>_xlfn.XLOOKUP(TB_Vendas[[#This Row],[Vendedor]],TB_Vendedores[Código],TB_Vendedores[Desc. Máximo])</f>
        <v>0.15</v>
      </c>
      <c r="I44" s="37">
        <f>IF(TB_Vendas[[#This Row],[Desc. Vendedor]]&gt;=TB_Vendas[[#This Row],[Desconto Calculado]],TB_Vendas[Desconto Calculado],TB_Vendas[Desc. Vendedor])</f>
        <v>0.15</v>
      </c>
      <c r="J44" s="2">
        <f>TB_Vendas[[#This Row],[Preço Unitário]]*TB_Vendas[[#This Row],[Qtd]]</f>
        <v>145</v>
      </c>
      <c r="K44" s="1" t="s">
        <v>119</v>
      </c>
    </row>
    <row r="45" spans="1:11">
      <c r="A45" s="4">
        <f>MONTH(TB_Vendas[[#This Row],[Data]])</f>
        <v>5</v>
      </c>
      <c r="B45" s="4" t="str">
        <f>PROPER(TEXT(DATE(,TB_Vendas[[#This Row],[Nº]],1),"Mmm"))</f>
        <v>Mai</v>
      </c>
      <c r="C45" s="3">
        <v>45055</v>
      </c>
      <c r="D45" s="4" t="s">
        <v>68</v>
      </c>
      <c r="E45" s="1">
        <v>3</v>
      </c>
      <c r="F45" s="8">
        <f>_xlfn.XLOOKUP(TB_Vendas[[#This Row],[Código]],TB_Produtos[Código],TB_Produtos[Preço Unitário])</f>
        <v>140</v>
      </c>
      <c r="G45" s="37">
        <f>INDEX(TB_DESC,MATCH(TB_Vendas[[#This Row],[Qtd]],DESC_QTD,1),MATCH(_xlfn.XLOOKUP(TB_Vendas[[#This Row],[Código]],TB_Produtos[Código],TB_Produtos[Categoria]),DESC_CATEGORIAS,1))</f>
        <v>0.2</v>
      </c>
      <c r="H45" s="37">
        <f>_xlfn.XLOOKUP(TB_Vendas[[#This Row],[Vendedor]],TB_Vendedores[Código],TB_Vendedores[Desc. Máximo])</f>
        <v>0.2</v>
      </c>
      <c r="I45" s="37">
        <f>IF(TB_Vendas[[#This Row],[Desc. Vendedor]]&gt;=TB_Vendas[[#This Row],[Desconto Calculado]],TB_Vendas[Desconto Calculado],TB_Vendas[Desc. Vendedor])</f>
        <v>0.2</v>
      </c>
      <c r="J45" s="2">
        <f>TB_Vendas[[#This Row],[Preço Unitário]]*TB_Vendas[[#This Row],[Qtd]]</f>
        <v>420</v>
      </c>
      <c r="K45" s="1" t="s">
        <v>118</v>
      </c>
    </row>
    <row r="46" spans="1:11">
      <c r="A46" s="4">
        <f>MONTH(TB_Vendas[[#This Row],[Data]])</f>
        <v>5</v>
      </c>
      <c r="B46" s="4" t="str">
        <f>PROPER(TEXT(DATE(,TB_Vendas[[#This Row],[Nº]],1),"Mmm"))</f>
        <v>Mai</v>
      </c>
      <c r="C46" s="3">
        <v>45056</v>
      </c>
      <c r="D46" s="4" t="s">
        <v>66</v>
      </c>
      <c r="E46" s="1">
        <v>1</v>
      </c>
      <c r="F46" s="8">
        <f>_xlfn.XLOOKUP(TB_Vendas[[#This Row],[Código]],TB_Produtos[Código],TB_Produtos[Preço Unitário])</f>
        <v>91.4</v>
      </c>
      <c r="G46" s="37">
        <f>INDEX(TB_DESC,MATCH(TB_Vendas[[#This Row],[Qtd]],DESC_QTD,1),MATCH(_xlfn.XLOOKUP(TB_Vendas[[#This Row],[Código]],TB_Produtos[Código],TB_Produtos[Categoria]),DESC_CATEGORIAS,1))</f>
        <v>0.1</v>
      </c>
      <c r="H46" s="37">
        <f>_xlfn.XLOOKUP(TB_Vendas[[#This Row],[Vendedor]],TB_Vendedores[Código],TB_Vendedores[Desc. Máximo])</f>
        <v>0.25</v>
      </c>
      <c r="I46" s="37">
        <f>IF(TB_Vendas[[#This Row],[Desc. Vendedor]]&gt;=TB_Vendas[[#This Row],[Desconto Calculado]],TB_Vendas[Desconto Calculado],TB_Vendas[Desc. Vendedor])</f>
        <v>0.1</v>
      </c>
      <c r="J46" s="2">
        <f>TB_Vendas[[#This Row],[Preço Unitário]]*TB_Vendas[[#This Row],[Qtd]]</f>
        <v>91.4</v>
      </c>
      <c r="K46" s="1" t="s">
        <v>116</v>
      </c>
    </row>
    <row r="47" spans="1:11">
      <c r="A47" s="4">
        <f>MONTH(TB_Vendas[[#This Row],[Data]])</f>
        <v>5</v>
      </c>
      <c r="B47" s="4" t="str">
        <f>PROPER(TEXT(DATE(,TB_Vendas[[#This Row],[Nº]],1),"Mmm"))</f>
        <v>Mai</v>
      </c>
      <c r="C47" s="3">
        <v>45057</v>
      </c>
      <c r="D47" s="4" t="s">
        <v>57</v>
      </c>
      <c r="E47" s="1">
        <v>2</v>
      </c>
      <c r="F47" s="8">
        <f>_xlfn.XLOOKUP(TB_Vendas[[#This Row],[Código]],TB_Produtos[Código],TB_Produtos[Preço Unitário])</f>
        <v>349.9</v>
      </c>
      <c r="G47" s="37">
        <f>INDEX(TB_DESC,MATCH(TB_Vendas[[#This Row],[Qtd]],DESC_QTD,1),MATCH(_xlfn.XLOOKUP(TB_Vendas[[#This Row],[Código]],TB_Produtos[Código],TB_Produtos[Categoria]),DESC_CATEGORIAS,1))</f>
        <v>0.05</v>
      </c>
      <c r="H47" s="37">
        <f>_xlfn.XLOOKUP(TB_Vendas[[#This Row],[Vendedor]],TB_Vendedores[Código],TB_Vendedores[Desc. Máximo])</f>
        <v>0.2</v>
      </c>
      <c r="I47" s="37">
        <f>IF(TB_Vendas[[#This Row],[Desc. Vendedor]]&gt;=TB_Vendas[[#This Row],[Desconto Calculado]],TB_Vendas[Desconto Calculado],TB_Vendas[Desc. Vendedor])</f>
        <v>0.05</v>
      </c>
      <c r="J47" s="2">
        <f>TB_Vendas[[#This Row],[Preço Unitário]]*TB_Vendas[[#This Row],[Qtd]]</f>
        <v>699.8</v>
      </c>
      <c r="K47" s="1" t="s">
        <v>118</v>
      </c>
    </row>
    <row r="48" spans="1:11">
      <c r="A48" s="4">
        <f>MONTH(TB_Vendas[[#This Row],[Data]])</f>
        <v>5</v>
      </c>
      <c r="B48" s="4" t="str">
        <f>PROPER(TEXT(DATE(,TB_Vendas[[#This Row],[Nº]],1),"Mmm"))</f>
        <v>Mai</v>
      </c>
      <c r="C48" s="3">
        <v>45058</v>
      </c>
      <c r="D48" s="4" t="s">
        <v>32</v>
      </c>
      <c r="E48" s="1">
        <v>3</v>
      </c>
      <c r="F48" s="8">
        <f>_xlfn.XLOOKUP(TB_Vendas[[#This Row],[Código]],TB_Produtos[Código],TB_Produtos[Preço Unitário])</f>
        <v>65.900000000000006</v>
      </c>
      <c r="G48" s="37">
        <f>INDEX(TB_DESC,MATCH(TB_Vendas[[#This Row],[Qtd]],DESC_QTD,1),MATCH(_xlfn.XLOOKUP(TB_Vendas[[#This Row],[Código]],TB_Produtos[Código],TB_Produtos[Categoria]),DESC_CATEGORIAS,1))</f>
        <v>0.2</v>
      </c>
      <c r="H48" s="37">
        <f>_xlfn.XLOOKUP(TB_Vendas[[#This Row],[Vendedor]],TB_Vendedores[Código],TB_Vendedores[Desc. Máximo])</f>
        <v>0.25</v>
      </c>
      <c r="I48" s="37">
        <f>IF(TB_Vendas[[#This Row],[Desc. Vendedor]]&gt;=TB_Vendas[[#This Row],[Desconto Calculado]],TB_Vendas[Desconto Calculado],TB_Vendas[Desc. Vendedor])</f>
        <v>0.2</v>
      </c>
      <c r="J48" s="2">
        <f>TB_Vendas[[#This Row],[Preço Unitário]]*TB_Vendas[[#This Row],[Qtd]]</f>
        <v>197.70000000000002</v>
      </c>
      <c r="K48" s="1" t="s">
        <v>116</v>
      </c>
    </row>
    <row r="49" spans="1:11">
      <c r="A49" s="4">
        <f>MONTH(TB_Vendas[[#This Row],[Data]])</f>
        <v>5</v>
      </c>
      <c r="B49" s="4" t="str">
        <f>PROPER(TEXT(DATE(,TB_Vendas[[#This Row],[Nº]],1),"Mmm"))</f>
        <v>Mai</v>
      </c>
      <c r="C49" s="3">
        <v>45061</v>
      </c>
      <c r="D49" s="4" t="s">
        <v>66</v>
      </c>
      <c r="E49" s="1">
        <v>2</v>
      </c>
      <c r="F49" s="8">
        <f>_xlfn.XLOOKUP(TB_Vendas[[#This Row],[Código]],TB_Produtos[Código],TB_Produtos[Preço Unitário])</f>
        <v>91.4</v>
      </c>
      <c r="G49" s="37">
        <f>INDEX(TB_DESC,MATCH(TB_Vendas[[#This Row],[Qtd]],DESC_QTD,1),MATCH(_xlfn.XLOOKUP(TB_Vendas[[#This Row],[Código]],TB_Produtos[Código],TB_Produtos[Categoria]),DESC_CATEGORIAS,1))</f>
        <v>0.15</v>
      </c>
      <c r="H49" s="37">
        <f>_xlfn.XLOOKUP(TB_Vendas[[#This Row],[Vendedor]],TB_Vendedores[Código],TB_Vendedores[Desc. Máximo])</f>
        <v>0.2</v>
      </c>
      <c r="I49" s="37">
        <f>IF(TB_Vendas[[#This Row],[Desc. Vendedor]]&gt;=TB_Vendas[[#This Row],[Desconto Calculado]],TB_Vendas[Desconto Calculado],TB_Vendas[Desc. Vendedor])</f>
        <v>0.15</v>
      </c>
      <c r="J49" s="2">
        <f>TB_Vendas[[#This Row],[Preço Unitário]]*TB_Vendas[[#This Row],[Qtd]]</f>
        <v>182.8</v>
      </c>
      <c r="K49" s="1" t="s">
        <v>115</v>
      </c>
    </row>
    <row r="50" spans="1:11">
      <c r="A50" s="4">
        <f>MONTH(TB_Vendas[[#This Row],[Data]])</f>
        <v>5</v>
      </c>
      <c r="B50" s="4" t="str">
        <f>PROPER(TEXT(DATE(,TB_Vendas[[#This Row],[Nº]],1),"Mmm"))</f>
        <v>Mai</v>
      </c>
      <c r="C50" s="3">
        <v>45064</v>
      </c>
      <c r="D50" s="4" t="s">
        <v>36</v>
      </c>
      <c r="E50" s="1">
        <v>4</v>
      </c>
      <c r="F50" s="8">
        <f>_xlfn.XLOOKUP(TB_Vendas[[#This Row],[Código]],TB_Produtos[Código],TB_Produtos[Preço Unitário])</f>
        <v>259.89999999999998</v>
      </c>
      <c r="G50" s="37">
        <f>INDEX(TB_DESC,MATCH(TB_Vendas[[#This Row],[Qtd]],DESC_QTD,1),MATCH(_xlfn.XLOOKUP(TB_Vendas[[#This Row],[Código]],TB_Produtos[Código],TB_Produtos[Categoria]),DESC_CATEGORIAS,1))</f>
        <v>0.15</v>
      </c>
      <c r="H50" s="37">
        <f>_xlfn.XLOOKUP(TB_Vendas[[#This Row],[Vendedor]],TB_Vendedores[Código],TB_Vendedores[Desc. Máximo])</f>
        <v>0.25</v>
      </c>
      <c r="I50" s="37">
        <f>IF(TB_Vendas[[#This Row],[Desc. Vendedor]]&gt;=TB_Vendas[[#This Row],[Desconto Calculado]],TB_Vendas[Desconto Calculado],TB_Vendas[Desc. Vendedor])</f>
        <v>0.15</v>
      </c>
      <c r="J50" s="2">
        <f>TB_Vendas[[#This Row],[Preço Unitário]]*TB_Vendas[[#This Row],[Qtd]]</f>
        <v>1039.5999999999999</v>
      </c>
      <c r="K50" s="1" t="s">
        <v>116</v>
      </c>
    </row>
    <row r="51" spans="1:11">
      <c r="A51" s="4">
        <f>MONTH(TB_Vendas[[#This Row],[Data]])</f>
        <v>6</v>
      </c>
      <c r="B51" s="4" t="str">
        <f>PROPER(TEXT(DATE(,TB_Vendas[[#This Row],[Nº]],1),"Mmm"))</f>
        <v>Jun</v>
      </c>
      <c r="C51" s="3">
        <v>45084</v>
      </c>
      <c r="D51" s="4" t="s">
        <v>35</v>
      </c>
      <c r="E51" s="1">
        <v>3</v>
      </c>
      <c r="F51" s="8">
        <f>_xlfn.XLOOKUP(TB_Vendas[[#This Row],[Código]],TB_Produtos[Código],TB_Produtos[Preço Unitário])</f>
        <v>145</v>
      </c>
      <c r="G51" s="37">
        <f>INDEX(TB_DESC,MATCH(TB_Vendas[[#This Row],[Qtd]],DESC_QTD,1),MATCH(_xlfn.XLOOKUP(TB_Vendas[[#This Row],[Código]],TB_Produtos[Código],TB_Produtos[Categoria]),DESC_CATEGORIAS,1))</f>
        <v>0.15</v>
      </c>
      <c r="H51" s="37">
        <f>_xlfn.XLOOKUP(TB_Vendas[[#This Row],[Vendedor]],TB_Vendedores[Código],TB_Vendedores[Desc. Máximo])</f>
        <v>0.2</v>
      </c>
      <c r="I51" s="37">
        <f>IF(TB_Vendas[[#This Row],[Desc. Vendedor]]&gt;=TB_Vendas[[#This Row],[Desconto Calculado]],TB_Vendas[Desconto Calculado],TB_Vendas[Desc. Vendedor])</f>
        <v>0.15</v>
      </c>
      <c r="J51" s="2">
        <f>TB_Vendas[[#This Row],[Preço Unitário]]*TB_Vendas[[#This Row],[Qtd]]</f>
        <v>435</v>
      </c>
      <c r="K51" s="1" t="s">
        <v>115</v>
      </c>
    </row>
    <row r="52" spans="1:11">
      <c r="A52" s="4">
        <f>MONTH(TB_Vendas[[#This Row],[Data]])</f>
        <v>6</v>
      </c>
      <c r="B52" s="4" t="str">
        <f>PROPER(TEXT(DATE(,TB_Vendas[[#This Row],[Nº]],1),"Mmm"))</f>
        <v>Jun</v>
      </c>
      <c r="C52" s="3">
        <v>45084</v>
      </c>
      <c r="D52" s="4" t="s">
        <v>69</v>
      </c>
      <c r="E52" s="1">
        <v>2</v>
      </c>
      <c r="F52" s="8">
        <f>_xlfn.XLOOKUP(TB_Vendas[[#This Row],[Código]],TB_Produtos[Código],TB_Produtos[Preço Unitário])</f>
        <v>142.9</v>
      </c>
      <c r="G52" s="37">
        <f>INDEX(TB_DESC,MATCH(TB_Vendas[[#This Row],[Qtd]],DESC_QTD,1),MATCH(_xlfn.XLOOKUP(TB_Vendas[[#This Row],[Código]],TB_Produtos[Código],TB_Produtos[Categoria]),DESC_CATEGORIAS,1))</f>
        <v>0.15</v>
      </c>
      <c r="H52" s="37">
        <f>_xlfn.XLOOKUP(TB_Vendas[[#This Row],[Vendedor]],TB_Vendedores[Código],TB_Vendedores[Desc. Máximo])</f>
        <v>0.1</v>
      </c>
      <c r="I52" s="37">
        <f>IF(TB_Vendas[[#This Row],[Desc. Vendedor]]&gt;=TB_Vendas[[#This Row],[Desconto Calculado]],TB_Vendas[Desconto Calculado],TB_Vendas[Desc. Vendedor])</f>
        <v>0.1</v>
      </c>
      <c r="J52" s="2">
        <f>TB_Vendas[[#This Row],[Preço Unitário]]*TB_Vendas[[#This Row],[Qtd]]</f>
        <v>285.8</v>
      </c>
      <c r="K52" s="1" t="s">
        <v>117</v>
      </c>
    </row>
    <row r="53" spans="1:11">
      <c r="A53" s="4">
        <f>MONTH(TB_Vendas[[#This Row],[Data]])</f>
        <v>6</v>
      </c>
      <c r="B53" s="4" t="str">
        <f>PROPER(TEXT(DATE(,TB_Vendas[[#This Row],[Nº]],1),"Mmm"))</f>
        <v>Jun</v>
      </c>
      <c r="C53" s="3">
        <v>45086</v>
      </c>
      <c r="D53" s="4" t="s">
        <v>111</v>
      </c>
      <c r="E53" s="1">
        <v>2</v>
      </c>
      <c r="F53" s="8">
        <f>_xlfn.XLOOKUP(TB_Vendas[[#This Row],[Código]],TB_Produtos[Código],TB_Produtos[Preço Unitário])</f>
        <v>180</v>
      </c>
      <c r="G53" s="37">
        <f>INDEX(TB_DESC,MATCH(TB_Vendas[[#This Row],[Qtd]],DESC_QTD,1),MATCH(_xlfn.XLOOKUP(TB_Vendas[[#This Row],[Código]],TB_Produtos[Código],TB_Produtos[Categoria]),DESC_CATEGORIAS,1))</f>
        <v>0.15</v>
      </c>
      <c r="H53" s="37">
        <f>_xlfn.XLOOKUP(TB_Vendas[[#This Row],[Vendedor]],TB_Vendedores[Código],TB_Vendedores[Desc. Máximo])</f>
        <v>0.2</v>
      </c>
      <c r="I53" s="37">
        <f>IF(TB_Vendas[[#This Row],[Desc. Vendedor]]&gt;=TB_Vendas[[#This Row],[Desconto Calculado]],TB_Vendas[Desconto Calculado],TB_Vendas[Desc. Vendedor])</f>
        <v>0.15</v>
      </c>
      <c r="J53" s="2">
        <f>TB_Vendas[[#This Row],[Preço Unitário]]*TB_Vendas[[#This Row],[Qtd]]</f>
        <v>360</v>
      </c>
      <c r="K53" s="1" t="s">
        <v>115</v>
      </c>
    </row>
    <row r="54" spans="1:11">
      <c r="A54" s="4">
        <f>MONTH(TB_Vendas[[#This Row],[Data]])</f>
        <v>6</v>
      </c>
      <c r="B54" s="4" t="str">
        <f>PROPER(TEXT(DATE(,TB_Vendas[[#This Row],[Nº]],1),"Mmm"))</f>
        <v>Jun</v>
      </c>
      <c r="C54" s="3">
        <v>45086</v>
      </c>
      <c r="D54" s="4" t="s">
        <v>46</v>
      </c>
      <c r="E54" s="1">
        <v>2</v>
      </c>
      <c r="F54" s="8">
        <f>_xlfn.XLOOKUP(TB_Vendas[[#This Row],[Código]],TB_Produtos[Código],TB_Produtos[Preço Unitário])</f>
        <v>42.5</v>
      </c>
      <c r="G54" s="37">
        <f>INDEX(TB_DESC,MATCH(TB_Vendas[[#This Row],[Qtd]],DESC_QTD,1),MATCH(_xlfn.XLOOKUP(TB_Vendas[[#This Row],[Código]],TB_Produtos[Código],TB_Produtos[Categoria]),DESC_CATEGORIAS,1))</f>
        <v>0.15</v>
      </c>
      <c r="H54" s="37">
        <f>_xlfn.XLOOKUP(TB_Vendas[[#This Row],[Vendedor]],TB_Vendedores[Código],TB_Vendedores[Desc. Máximo])</f>
        <v>0.1</v>
      </c>
      <c r="I54" s="37">
        <f>IF(TB_Vendas[[#This Row],[Desc. Vendedor]]&gt;=TB_Vendas[[#This Row],[Desconto Calculado]],TB_Vendas[Desconto Calculado],TB_Vendas[Desc. Vendedor])</f>
        <v>0.1</v>
      </c>
      <c r="J54" s="2">
        <f>TB_Vendas[[#This Row],[Preço Unitário]]*TB_Vendas[[#This Row],[Qtd]]</f>
        <v>85</v>
      </c>
      <c r="K54" s="1" t="s">
        <v>117</v>
      </c>
    </row>
    <row r="55" spans="1:11">
      <c r="A55" s="4">
        <f>MONTH(TB_Vendas[[#This Row],[Data]])</f>
        <v>6</v>
      </c>
      <c r="B55" s="4" t="str">
        <f>PROPER(TEXT(DATE(,TB_Vendas[[#This Row],[Nº]],1),"Mmm"))</f>
        <v>Jun</v>
      </c>
      <c r="C55" s="3">
        <v>45088</v>
      </c>
      <c r="D55" s="4" t="s">
        <v>32</v>
      </c>
      <c r="E55" s="1">
        <v>1</v>
      </c>
      <c r="F55" s="8">
        <f>_xlfn.XLOOKUP(TB_Vendas[[#This Row],[Código]],TB_Produtos[Código],TB_Produtos[Preço Unitário])</f>
        <v>65.900000000000006</v>
      </c>
      <c r="G55" s="37">
        <f>INDEX(TB_DESC,MATCH(TB_Vendas[[#This Row],[Qtd]],DESC_QTD,1),MATCH(_xlfn.XLOOKUP(TB_Vendas[[#This Row],[Código]],TB_Produtos[Código],TB_Produtos[Categoria]),DESC_CATEGORIAS,1))</f>
        <v>0.1</v>
      </c>
      <c r="H55" s="37">
        <f>_xlfn.XLOOKUP(TB_Vendas[[#This Row],[Vendedor]],TB_Vendedores[Código],TB_Vendedores[Desc. Máximo])</f>
        <v>0.25</v>
      </c>
      <c r="I55" s="37">
        <f>IF(TB_Vendas[[#This Row],[Desc. Vendedor]]&gt;=TB_Vendas[[#This Row],[Desconto Calculado]],TB_Vendas[Desconto Calculado],TB_Vendas[Desc. Vendedor])</f>
        <v>0.1</v>
      </c>
      <c r="J55" s="2">
        <f>TB_Vendas[[#This Row],[Preço Unitário]]*TB_Vendas[[#This Row],[Qtd]]</f>
        <v>65.900000000000006</v>
      </c>
      <c r="K55" s="1" t="s">
        <v>116</v>
      </c>
    </row>
    <row r="56" spans="1:11">
      <c r="A56" s="4">
        <f>MONTH(TB_Vendas[[#This Row],[Data]])</f>
        <v>6</v>
      </c>
      <c r="B56" s="4" t="str">
        <f>PROPER(TEXT(DATE(,TB_Vendas[[#This Row],[Nº]],1),"Mmm"))</f>
        <v>Jun</v>
      </c>
      <c r="C56" s="3">
        <v>45090</v>
      </c>
      <c r="D56" s="4" t="s">
        <v>108</v>
      </c>
      <c r="E56" s="1">
        <v>1</v>
      </c>
      <c r="F56" s="8">
        <f>_xlfn.XLOOKUP(TB_Vendas[[#This Row],[Código]],TB_Produtos[Código],TB_Produtos[Preço Unitário])</f>
        <v>180</v>
      </c>
      <c r="G56" s="37">
        <f>INDEX(TB_DESC,MATCH(TB_Vendas[[#This Row],[Qtd]],DESC_QTD,1),MATCH(_xlfn.XLOOKUP(TB_Vendas[[#This Row],[Código]],TB_Produtos[Código],TB_Produtos[Categoria]),DESC_CATEGORIAS,1))</f>
        <v>0.1</v>
      </c>
      <c r="H56" s="37">
        <f>_xlfn.XLOOKUP(TB_Vendas[[#This Row],[Vendedor]],TB_Vendedores[Código],TB_Vendedores[Desc. Máximo])</f>
        <v>0.1</v>
      </c>
      <c r="I56" s="37">
        <f>IF(TB_Vendas[[#This Row],[Desc. Vendedor]]&gt;=TB_Vendas[[#This Row],[Desconto Calculado]],TB_Vendas[Desconto Calculado],TB_Vendas[Desc. Vendedor])</f>
        <v>0.1</v>
      </c>
      <c r="J56" s="2">
        <f>TB_Vendas[[#This Row],[Preço Unitário]]*TB_Vendas[[#This Row],[Qtd]]</f>
        <v>180</v>
      </c>
      <c r="K56" s="1" t="s">
        <v>117</v>
      </c>
    </row>
    <row r="57" spans="1:11">
      <c r="A57" s="4">
        <f>MONTH(TB_Vendas[[#This Row],[Data]])</f>
        <v>6</v>
      </c>
      <c r="B57" s="4" t="str">
        <f>PROPER(TEXT(DATE(,TB_Vendas[[#This Row],[Nº]],1),"Mmm"))</f>
        <v>Jun</v>
      </c>
      <c r="C57" s="3">
        <v>45093</v>
      </c>
      <c r="D57" s="4" t="s">
        <v>98</v>
      </c>
      <c r="E57" s="1">
        <v>3</v>
      </c>
      <c r="F57" s="8">
        <f>_xlfn.XLOOKUP(TB_Vendas[[#This Row],[Código]],TB_Produtos[Código],TB_Produtos[Preço Unitário])</f>
        <v>32.9</v>
      </c>
      <c r="G57" s="37">
        <f>INDEX(TB_DESC,MATCH(TB_Vendas[[#This Row],[Qtd]],DESC_QTD,1),MATCH(_xlfn.XLOOKUP(TB_Vendas[[#This Row],[Código]],TB_Produtos[Código],TB_Produtos[Categoria]),DESC_CATEGORIAS,1))</f>
        <v>0.2</v>
      </c>
      <c r="H57" s="37">
        <f>_xlfn.XLOOKUP(TB_Vendas[[#This Row],[Vendedor]],TB_Vendedores[Código],TB_Vendedores[Desc. Máximo])</f>
        <v>0.25</v>
      </c>
      <c r="I57" s="37">
        <f>IF(TB_Vendas[[#This Row],[Desc. Vendedor]]&gt;=TB_Vendas[[#This Row],[Desconto Calculado]],TB_Vendas[Desconto Calculado],TB_Vendas[Desc. Vendedor])</f>
        <v>0.2</v>
      </c>
      <c r="J57" s="2">
        <f>TB_Vendas[[#This Row],[Preço Unitário]]*TB_Vendas[[#This Row],[Qtd]]</f>
        <v>98.699999999999989</v>
      </c>
      <c r="K57" s="1" t="s">
        <v>116</v>
      </c>
    </row>
    <row r="58" spans="1:11">
      <c r="A58" s="4">
        <f>MONTH(TB_Vendas[[#This Row],[Data]])</f>
        <v>6</v>
      </c>
      <c r="B58" s="4" t="str">
        <f>PROPER(TEXT(DATE(,TB_Vendas[[#This Row],[Nº]],1),"Mmm"))</f>
        <v>Jun</v>
      </c>
      <c r="C58" s="3">
        <v>45093</v>
      </c>
      <c r="D58" s="4" t="s">
        <v>40</v>
      </c>
      <c r="E58" s="1">
        <v>4</v>
      </c>
      <c r="F58" s="8">
        <f>_xlfn.XLOOKUP(TB_Vendas[[#This Row],[Código]],TB_Produtos[Código],TB_Produtos[Preço Unitário])</f>
        <v>92.9</v>
      </c>
      <c r="G58" s="37">
        <f>INDEX(TB_DESC,MATCH(TB_Vendas[[#This Row],[Qtd]],DESC_QTD,1),MATCH(_xlfn.XLOOKUP(TB_Vendas[[#This Row],[Código]],TB_Produtos[Código],TB_Produtos[Categoria]),DESC_CATEGORIAS,1))</f>
        <v>0.2</v>
      </c>
      <c r="H58" s="37">
        <f>_xlfn.XLOOKUP(TB_Vendas[[#This Row],[Vendedor]],TB_Vendedores[Código],TB_Vendedores[Desc. Máximo])</f>
        <v>0.2</v>
      </c>
      <c r="I58" s="37">
        <f>IF(TB_Vendas[[#This Row],[Desc. Vendedor]]&gt;=TB_Vendas[[#This Row],[Desconto Calculado]],TB_Vendas[Desconto Calculado],TB_Vendas[Desc. Vendedor])</f>
        <v>0.2</v>
      </c>
      <c r="J58" s="2">
        <f>TB_Vendas[[#This Row],[Preço Unitário]]*TB_Vendas[[#This Row],[Qtd]]</f>
        <v>371.6</v>
      </c>
      <c r="K58" s="1" t="s">
        <v>115</v>
      </c>
    </row>
    <row r="59" spans="1:11">
      <c r="A59" s="4">
        <f>MONTH(TB_Vendas[[#This Row],[Data]])</f>
        <v>6</v>
      </c>
      <c r="B59" s="4" t="str">
        <f>PROPER(TEXT(DATE(,TB_Vendas[[#This Row],[Nº]],1),"Mmm"))</f>
        <v>Jun</v>
      </c>
      <c r="C59" s="3">
        <v>45094</v>
      </c>
      <c r="D59" s="4" t="s">
        <v>64</v>
      </c>
      <c r="E59" s="1">
        <v>2</v>
      </c>
      <c r="F59" s="8">
        <f>_xlfn.XLOOKUP(TB_Vendas[[#This Row],[Código]],TB_Produtos[Código],TB_Produtos[Preço Unitário])</f>
        <v>259.89999999999998</v>
      </c>
      <c r="G59" s="37">
        <f>INDEX(TB_DESC,MATCH(TB_Vendas[[#This Row],[Qtd]],DESC_QTD,1),MATCH(_xlfn.XLOOKUP(TB_Vendas[[#This Row],[Código]],TB_Produtos[Código],TB_Produtos[Categoria]),DESC_CATEGORIAS,1))</f>
        <v>0.05</v>
      </c>
      <c r="H59" s="37">
        <f>_xlfn.XLOOKUP(TB_Vendas[[#This Row],[Vendedor]],TB_Vendedores[Código],TB_Vendedores[Desc. Máximo])</f>
        <v>0.1</v>
      </c>
      <c r="I59" s="37">
        <f>IF(TB_Vendas[[#This Row],[Desc. Vendedor]]&gt;=TB_Vendas[[#This Row],[Desconto Calculado]],TB_Vendas[Desconto Calculado],TB_Vendas[Desc. Vendedor])</f>
        <v>0.05</v>
      </c>
      <c r="J59" s="2">
        <f>TB_Vendas[[#This Row],[Preço Unitário]]*TB_Vendas[[#This Row],[Qtd]]</f>
        <v>519.79999999999995</v>
      </c>
      <c r="K59" s="1" t="s">
        <v>117</v>
      </c>
    </row>
    <row r="60" spans="1:11">
      <c r="A60" s="4">
        <f>MONTH(TB_Vendas[[#This Row],[Data]])</f>
        <v>6</v>
      </c>
      <c r="B60" s="4" t="str">
        <f>PROPER(TEXT(DATE(,TB_Vendas[[#This Row],[Nº]],1),"Mmm"))</f>
        <v>Jun</v>
      </c>
      <c r="C60" s="3">
        <v>45097</v>
      </c>
      <c r="D60" s="4" t="s">
        <v>55</v>
      </c>
      <c r="E60" s="1">
        <v>1</v>
      </c>
      <c r="F60" s="8">
        <f>_xlfn.XLOOKUP(TB_Vendas[[#This Row],[Código]],TB_Produtos[Código],TB_Produtos[Preço Unitário])</f>
        <v>259.89999999999998</v>
      </c>
      <c r="G60" s="37">
        <f>INDEX(TB_DESC,MATCH(TB_Vendas[[#This Row],[Qtd]],DESC_QTD,1),MATCH(_xlfn.XLOOKUP(TB_Vendas[[#This Row],[Código]],TB_Produtos[Código],TB_Produtos[Categoria]),DESC_CATEGORIAS,1))</f>
        <v>0.1</v>
      </c>
      <c r="H60" s="37">
        <f>_xlfn.XLOOKUP(TB_Vendas[[#This Row],[Vendedor]],TB_Vendedores[Código],TB_Vendedores[Desc. Máximo])</f>
        <v>0.15</v>
      </c>
      <c r="I60" s="37">
        <f>IF(TB_Vendas[[#This Row],[Desc. Vendedor]]&gt;=TB_Vendas[[#This Row],[Desconto Calculado]],TB_Vendas[Desconto Calculado],TB_Vendas[Desc. Vendedor])</f>
        <v>0.1</v>
      </c>
      <c r="J60" s="2">
        <f>TB_Vendas[[#This Row],[Preço Unitário]]*TB_Vendas[[#This Row],[Qtd]]</f>
        <v>259.89999999999998</v>
      </c>
      <c r="K60" s="1" t="s">
        <v>119</v>
      </c>
    </row>
    <row r="61" spans="1:11">
      <c r="A61" s="4">
        <f>MONTH(TB_Vendas[[#This Row],[Data]])</f>
        <v>6</v>
      </c>
      <c r="B61" s="4" t="str">
        <f>PROPER(TEXT(DATE(,TB_Vendas[[#This Row],[Nº]],1),"Mmm"))</f>
        <v>Jun</v>
      </c>
      <c r="C61" s="3">
        <v>45105</v>
      </c>
      <c r="D61" s="4" t="s">
        <v>46</v>
      </c>
      <c r="E61" s="1">
        <v>5</v>
      </c>
      <c r="F61" s="8">
        <f>_xlfn.XLOOKUP(TB_Vendas[[#This Row],[Código]],TB_Produtos[Código],TB_Produtos[Preço Unitário])</f>
        <v>42.5</v>
      </c>
      <c r="G61" s="37">
        <f>INDEX(TB_DESC,MATCH(TB_Vendas[[#This Row],[Qtd]],DESC_QTD,1),MATCH(_xlfn.XLOOKUP(TB_Vendas[[#This Row],[Código]],TB_Produtos[Código],TB_Produtos[Categoria]),DESC_CATEGORIAS,1))</f>
        <v>0.25</v>
      </c>
      <c r="H61" s="37">
        <f>_xlfn.XLOOKUP(TB_Vendas[[#This Row],[Vendedor]],TB_Vendedores[Código],TB_Vendedores[Desc. Máximo])</f>
        <v>0.15</v>
      </c>
      <c r="I61" s="37">
        <f>IF(TB_Vendas[[#This Row],[Desc. Vendedor]]&gt;=TB_Vendas[[#This Row],[Desconto Calculado]],TB_Vendas[Desconto Calculado],TB_Vendas[Desc. Vendedor])</f>
        <v>0.15</v>
      </c>
      <c r="J61" s="2">
        <f>TB_Vendas[[#This Row],[Preço Unitário]]*TB_Vendas[[#This Row],[Qtd]]</f>
        <v>212.5</v>
      </c>
      <c r="K61" s="1" t="s">
        <v>119</v>
      </c>
    </row>
    <row r="62" spans="1:11">
      <c r="A62" s="4">
        <f>MONTH(TB_Vendas[[#This Row],[Data]])</f>
        <v>6</v>
      </c>
      <c r="B62" s="4" t="str">
        <f>PROPER(TEXT(DATE(,TB_Vendas[[#This Row],[Nº]],1),"Mmm"))</f>
        <v>Jun</v>
      </c>
      <c r="C62" s="3">
        <v>45105</v>
      </c>
      <c r="D62" s="4" t="s">
        <v>98</v>
      </c>
      <c r="E62" s="1">
        <v>2</v>
      </c>
      <c r="F62" s="8">
        <f>_xlfn.XLOOKUP(TB_Vendas[[#This Row],[Código]],TB_Produtos[Código],TB_Produtos[Preço Unitário])</f>
        <v>32.9</v>
      </c>
      <c r="G62" s="37">
        <f>INDEX(TB_DESC,MATCH(TB_Vendas[[#This Row],[Qtd]],DESC_QTD,1),MATCH(_xlfn.XLOOKUP(TB_Vendas[[#This Row],[Código]],TB_Produtos[Código],TB_Produtos[Categoria]),DESC_CATEGORIAS,1))</f>
        <v>0.15</v>
      </c>
      <c r="H62" s="37">
        <f>_xlfn.XLOOKUP(TB_Vendas[[#This Row],[Vendedor]],TB_Vendedores[Código],TB_Vendedores[Desc. Máximo])</f>
        <v>0.15</v>
      </c>
      <c r="I62" s="37">
        <f>IF(TB_Vendas[[#This Row],[Desc. Vendedor]]&gt;=TB_Vendas[[#This Row],[Desconto Calculado]],TB_Vendas[Desconto Calculado],TB_Vendas[Desc. Vendedor])</f>
        <v>0.15</v>
      </c>
      <c r="J62" s="2">
        <f>TB_Vendas[[#This Row],[Preço Unitário]]*TB_Vendas[[#This Row],[Qtd]]</f>
        <v>65.8</v>
      </c>
      <c r="K62" s="1" t="s">
        <v>119</v>
      </c>
    </row>
    <row r="63" spans="1:11">
      <c r="A63" s="4">
        <f>MONTH(TB_Vendas[[#This Row],[Data]])</f>
        <v>6</v>
      </c>
      <c r="B63" s="4" t="str">
        <f>PROPER(TEXT(DATE(,TB_Vendas[[#This Row],[Nº]],1),"Mmm"))</f>
        <v>Jun</v>
      </c>
      <c r="C63" s="3">
        <v>45106</v>
      </c>
      <c r="D63" s="4" t="s">
        <v>40</v>
      </c>
      <c r="E63" s="1">
        <v>3</v>
      </c>
      <c r="F63" s="8">
        <f>_xlfn.XLOOKUP(TB_Vendas[[#This Row],[Código]],TB_Produtos[Código],TB_Produtos[Preço Unitário])</f>
        <v>92.9</v>
      </c>
      <c r="G63" s="37">
        <f>INDEX(TB_DESC,MATCH(TB_Vendas[[#This Row],[Qtd]],DESC_QTD,1),MATCH(_xlfn.XLOOKUP(TB_Vendas[[#This Row],[Código]],TB_Produtos[Código],TB_Produtos[Categoria]),DESC_CATEGORIAS,1))</f>
        <v>0.2</v>
      </c>
      <c r="H63" s="37">
        <f>_xlfn.XLOOKUP(TB_Vendas[[#This Row],[Vendedor]],TB_Vendedores[Código],TB_Vendedores[Desc. Máximo])</f>
        <v>0.2</v>
      </c>
      <c r="I63" s="37">
        <f>IF(TB_Vendas[[#This Row],[Desc. Vendedor]]&gt;=TB_Vendas[[#This Row],[Desconto Calculado]],TB_Vendas[Desconto Calculado],TB_Vendas[Desc. Vendedor])</f>
        <v>0.2</v>
      </c>
      <c r="J63" s="2">
        <f>TB_Vendas[[#This Row],[Preço Unitário]]*TB_Vendas[[#This Row],[Qtd]]</f>
        <v>278.70000000000005</v>
      </c>
      <c r="K63" s="1" t="s">
        <v>115</v>
      </c>
    </row>
    <row r="64" spans="1:11">
      <c r="A64" s="1">
        <f>MONTH(TB_Vendas[[#This Row],[Data]])</f>
        <v>6</v>
      </c>
      <c r="B64" s="4" t="str">
        <f>PROPER(TEXT(DATE(,TB_Vendas[[#This Row],[Nº]],1),"Mmm"))</f>
        <v>Jun</v>
      </c>
      <c r="C64" s="3">
        <v>45107</v>
      </c>
      <c r="D64" s="4" t="s">
        <v>47</v>
      </c>
      <c r="E64" s="1">
        <v>10</v>
      </c>
      <c r="F64" s="8">
        <f>_xlfn.XLOOKUP(TB_Vendas[[#This Row],[Código]],TB_Produtos[Código],TB_Produtos[Preço Unitário])</f>
        <v>25.9</v>
      </c>
      <c r="G64" s="37">
        <f>INDEX(TB_DESC,MATCH(TB_Vendas[[#This Row],[Qtd]],DESC_QTD,1),MATCH(_xlfn.XLOOKUP(TB_Vendas[[#This Row],[Código]],TB_Produtos[Código],TB_Produtos[Categoria]),DESC_CATEGORIAS,1))</f>
        <v>0.3</v>
      </c>
      <c r="H64" s="37">
        <f>_xlfn.XLOOKUP(TB_Vendas[[#This Row],[Vendedor]],TB_Vendedores[Código],TB_Vendedores[Desc. Máximo])</f>
        <v>0.2</v>
      </c>
      <c r="I64" s="37">
        <f>IF(TB_Vendas[[#This Row],[Desc. Vendedor]]&gt;=TB_Vendas[[#This Row],[Desconto Calculado]],TB_Vendas[Desconto Calculado],TB_Vendas[Desc. Vendedor])</f>
        <v>0.2</v>
      </c>
      <c r="J64" s="2">
        <f>TB_Vendas[[#This Row],[Preço Unitário]]*TB_Vendas[[#This Row],[Qtd]]</f>
        <v>259</v>
      </c>
      <c r="K64" s="1" t="s">
        <v>115</v>
      </c>
    </row>
    <row r="65" spans="1:11">
      <c r="A65" s="1">
        <f>MONTH(TB_Vendas[[#This Row],[Data]])</f>
        <v>7</v>
      </c>
      <c r="B65" s="4" t="str">
        <f>PROPER(TEXT(DATE(,TB_Vendas[[#This Row],[Nº]],1),"Mmm"))</f>
        <v>Jul</v>
      </c>
      <c r="C65" s="3">
        <v>45112</v>
      </c>
      <c r="D65" s="4" t="s">
        <v>90</v>
      </c>
      <c r="E65" s="1">
        <v>1</v>
      </c>
      <c r="F65" s="8">
        <f>_xlfn.XLOOKUP(TB_Vendas[[#This Row],[Código]],TB_Produtos[Código],TB_Produtos[Preço Unitário])</f>
        <v>72.5</v>
      </c>
      <c r="G65" s="37">
        <f>INDEX(TB_DESC,MATCH(TB_Vendas[[#This Row],[Qtd]],DESC_QTD,1),MATCH(_xlfn.XLOOKUP(TB_Vendas[[#This Row],[Código]],TB_Produtos[Código],TB_Produtos[Categoria]),DESC_CATEGORIAS,1))</f>
        <v>0.1</v>
      </c>
      <c r="H65" s="37">
        <f>_xlfn.XLOOKUP(TB_Vendas[[#This Row],[Vendedor]],TB_Vendedores[Código],TB_Vendedores[Desc. Máximo])</f>
        <v>0.25</v>
      </c>
      <c r="I65" s="37">
        <f>IF(TB_Vendas[[#This Row],[Desc. Vendedor]]&gt;=TB_Vendas[[#This Row],[Desconto Calculado]],TB_Vendas[Desconto Calculado],TB_Vendas[Desc. Vendedor])</f>
        <v>0.1</v>
      </c>
      <c r="J65" s="2">
        <f>TB_Vendas[[#This Row],[Preço Unitário]]*TB_Vendas[[#This Row],[Qtd]]</f>
        <v>72.5</v>
      </c>
      <c r="K65" s="1" t="s">
        <v>116</v>
      </c>
    </row>
    <row r="66" spans="1:11">
      <c r="A66" s="1">
        <f>MONTH(TB_Vendas[[#This Row],[Data]])</f>
        <v>7</v>
      </c>
      <c r="B66" s="4" t="str">
        <f>PROPER(TEXT(DATE(,TB_Vendas[[#This Row],[Nº]],1),"Mmm"))</f>
        <v>Jul</v>
      </c>
      <c r="C66" s="3">
        <v>45113</v>
      </c>
      <c r="D66" s="4" t="s">
        <v>52</v>
      </c>
      <c r="E66" s="1">
        <v>4</v>
      </c>
      <c r="F66" s="8">
        <f>_xlfn.XLOOKUP(TB_Vendas[[#This Row],[Código]],TB_Produtos[Código],TB_Produtos[Preço Unitário])</f>
        <v>302.89999999999998</v>
      </c>
      <c r="G66" s="37">
        <f>INDEX(TB_DESC,MATCH(TB_Vendas[[#This Row],[Qtd]],DESC_QTD,1),MATCH(_xlfn.XLOOKUP(TB_Vendas[[#This Row],[Código]],TB_Produtos[Código],TB_Produtos[Categoria]),DESC_CATEGORIAS,1))</f>
        <v>0.2</v>
      </c>
      <c r="H66" s="37">
        <f>_xlfn.XLOOKUP(TB_Vendas[[#This Row],[Vendedor]],TB_Vendedores[Código],TB_Vendedores[Desc. Máximo])</f>
        <v>0.15</v>
      </c>
      <c r="I66" s="37">
        <f>IF(TB_Vendas[[#This Row],[Desc. Vendedor]]&gt;=TB_Vendas[[#This Row],[Desconto Calculado]],TB_Vendas[Desconto Calculado],TB_Vendas[Desc. Vendedor])</f>
        <v>0.15</v>
      </c>
      <c r="J66" s="2">
        <f>TB_Vendas[[#This Row],[Preço Unitário]]*TB_Vendas[[#This Row],[Qtd]]</f>
        <v>1211.5999999999999</v>
      </c>
      <c r="K66" s="1" t="s">
        <v>119</v>
      </c>
    </row>
    <row r="67" spans="1:11">
      <c r="A67" s="1">
        <f>MONTH(TB_Vendas[[#This Row],[Data]])</f>
        <v>7</v>
      </c>
      <c r="B67" s="4" t="str">
        <f>PROPER(TEXT(DATE(,TB_Vendas[[#This Row],[Nº]],1),"Mmm"))</f>
        <v>Jul</v>
      </c>
      <c r="C67" s="3">
        <v>45114</v>
      </c>
      <c r="D67" s="4" t="s">
        <v>95</v>
      </c>
      <c r="E67" s="1">
        <v>8</v>
      </c>
      <c r="F67" s="8">
        <f>_xlfn.XLOOKUP(TB_Vendas[[#This Row],[Código]],TB_Produtos[Código],TB_Produtos[Preço Unitário])</f>
        <v>289.89999999999998</v>
      </c>
      <c r="G67" s="37">
        <f>INDEX(TB_DESC,MATCH(TB_Vendas[[#This Row],[Qtd]],DESC_QTD,1),MATCH(_xlfn.XLOOKUP(TB_Vendas[[#This Row],[Código]],TB_Produtos[Código],TB_Produtos[Categoria]),DESC_CATEGORIAS,1))</f>
        <v>0.25</v>
      </c>
      <c r="H67" s="37">
        <f>_xlfn.XLOOKUP(TB_Vendas[[#This Row],[Vendedor]],TB_Vendedores[Código],TB_Vendedores[Desc. Máximo])</f>
        <v>0.2</v>
      </c>
      <c r="I67" s="37">
        <f>IF(TB_Vendas[[#This Row],[Desc. Vendedor]]&gt;=TB_Vendas[[#This Row],[Desconto Calculado]],TB_Vendas[Desconto Calculado],TB_Vendas[Desc. Vendedor])</f>
        <v>0.2</v>
      </c>
      <c r="J67" s="2">
        <f>TB_Vendas[[#This Row],[Preço Unitário]]*TB_Vendas[[#This Row],[Qtd]]</f>
        <v>2319.1999999999998</v>
      </c>
      <c r="K67" s="1" t="s">
        <v>115</v>
      </c>
    </row>
    <row r="68" spans="1:11">
      <c r="A68" s="1">
        <f>MONTH(TB_Vendas[[#This Row],[Data]])</f>
        <v>7</v>
      </c>
      <c r="B68" s="4" t="str">
        <f>PROPER(TEXT(DATE(,TB_Vendas[[#This Row],[Nº]],1),"Mmm"))</f>
        <v>Jul</v>
      </c>
      <c r="C68" s="3">
        <v>45119</v>
      </c>
      <c r="D68" s="4" t="s">
        <v>86</v>
      </c>
      <c r="E68" s="1">
        <v>2</v>
      </c>
      <c r="F68" s="8">
        <f>_xlfn.XLOOKUP(TB_Vendas[[#This Row],[Código]],TB_Produtos[Código],TB_Produtos[Preço Unitário])</f>
        <v>54.9</v>
      </c>
      <c r="G68" s="37">
        <f>INDEX(TB_DESC,MATCH(TB_Vendas[[#This Row],[Qtd]],DESC_QTD,1),MATCH(_xlfn.XLOOKUP(TB_Vendas[[#This Row],[Código]],TB_Produtos[Código],TB_Produtos[Categoria]),DESC_CATEGORIAS,1))</f>
        <v>0.15</v>
      </c>
      <c r="H68" s="37">
        <f>_xlfn.XLOOKUP(TB_Vendas[[#This Row],[Vendedor]],TB_Vendedores[Código],TB_Vendedores[Desc. Máximo])</f>
        <v>0.2</v>
      </c>
      <c r="I68" s="37">
        <f>IF(TB_Vendas[[#This Row],[Desc. Vendedor]]&gt;=TB_Vendas[[#This Row],[Desconto Calculado]],TB_Vendas[Desconto Calculado],TB_Vendas[Desc. Vendedor])</f>
        <v>0.15</v>
      </c>
      <c r="J68" s="2">
        <f>TB_Vendas[[#This Row],[Preço Unitário]]*TB_Vendas[[#This Row],[Qtd]]</f>
        <v>109.8</v>
      </c>
      <c r="K68" s="1" t="s">
        <v>115</v>
      </c>
    </row>
    <row r="69" spans="1:11">
      <c r="A69" s="1">
        <f>MONTH(TB_Vendas[[#This Row],[Data]])</f>
        <v>7</v>
      </c>
      <c r="B69" s="4" t="str">
        <f>PROPER(TEXT(DATE(,TB_Vendas[[#This Row],[Nº]],1),"Mmm"))</f>
        <v>Jul</v>
      </c>
      <c r="C69" s="3">
        <v>45120</v>
      </c>
      <c r="D69" s="4" t="s">
        <v>45</v>
      </c>
      <c r="E69" s="1">
        <v>2</v>
      </c>
      <c r="F69" s="8">
        <f>_xlfn.XLOOKUP(TB_Vendas[[#This Row],[Código]],TB_Produtos[Código],TB_Produtos[Preço Unitário])</f>
        <v>39.9</v>
      </c>
      <c r="G69" s="37">
        <f>INDEX(TB_DESC,MATCH(TB_Vendas[[#This Row],[Qtd]],DESC_QTD,1),MATCH(_xlfn.XLOOKUP(TB_Vendas[[#This Row],[Código]],TB_Produtos[Código],TB_Produtos[Categoria]),DESC_CATEGORIAS,1))</f>
        <v>0.15</v>
      </c>
      <c r="H69" s="37">
        <f>_xlfn.XLOOKUP(TB_Vendas[[#This Row],[Vendedor]],TB_Vendedores[Código],TB_Vendedores[Desc. Máximo])</f>
        <v>0.15</v>
      </c>
      <c r="I69" s="37">
        <f>IF(TB_Vendas[[#This Row],[Desc. Vendedor]]&gt;=TB_Vendas[[#This Row],[Desconto Calculado]],TB_Vendas[Desconto Calculado],TB_Vendas[Desc. Vendedor])</f>
        <v>0.15</v>
      </c>
      <c r="J69" s="2">
        <f>TB_Vendas[[#This Row],[Preço Unitário]]*TB_Vendas[[#This Row],[Qtd]]</f>
        <v>79.8</v>
      </c>
      <c r="K69" s="1" t="s">
        <v>119</v>
      </c>
    </row>
    <row r="70" spans="1:11">
      <c r="A70" s="1">
        <f>MONTH(TB_Vendas[[#This Row],[Data]])</f>
        <v>7</v>
      </c>
      <c r="B70" s="4" t="str">
        <f>PROPER(TEXT(DATE(,TB_Vendas[[#This Row],[Nº]],1),"Mmm"))</f>
        <v>Jul</v>
      </c>
      <c r="C70" s="3">
        <v>45124</v>
      </c>
      <c r="D70" s="4" t="s">
        <v>87</v>
      </c>
      <c r="E70" s="1">
        <v>7</v>
      </c>
      <c r="F70" s="8">
        <f>_xlfn.XLOOKUP(TB_Vendas[[#This Row],[Código]],TB_Produtos[Código],TB_Produtos[Preço Unitário])</f>
        <v>54.9</v>
      </c>
      <c r="G70" s="37">
        <f>INDEX(TB_DESC,MATCH(TB_Vendas[[#This Row],[Qtd]],DESC_QTD,1),MATCH(_xlfn.XLOOKUP(TB_Vendas[[#This Row],[Código]],TB_Produtos[Código],TB_Produtos[Categoria]),DESC_CATEGORIAS,1))</f>
        <v>0.25</v>
      </c>
      <c r="H70" s="37">
        <f>_xlfn.XLOOKUP(TB_Vendas[[#This Row],[Vendedor]],TB_Vendedores[Código],TB_Vendedores[Desc. Máximo])</f>
        <v>0.2</v>
      </c>
      <c r="I70" s="37">
        <f>IF(TB_Vendas[[#This Row],[Desc. Vendedor]]&gt;=TB_Vendas[[#This Row],[Desconto Calculado]],TB_Vendas[Desconto Calculado],TB_Vendas[Desc. Vendedor])</f>
        <v>0.2</v>
      </c>
      <c r="J70" s="2">
        <f>TB_Vendas[[#This Row],[Preço Unitário]]*TB_Vendas[[#This Row],[Qtd]]</f>
        <v>384.3</v>
      </c>
      <c r="K70" s="1" t="s">
        <v>118</v>
      </c>
    </row>
    <row r="71" spans="1:11">
      <c r="A71" s="1">
        <f>MONTH(TB_Vendas[[#This Row],[Data]])</f>
        <v>7</v>
      </c>
      <c r="B71" s="4" t="str">
        <f>PROPER(TEXT(DATE(,TB_Vendas[[#This Row],[Nº]],1),"Mmm"))</f>
        <v>Jul</v>
      </c>
      <c r="C71" s="3">
        <v>45130</v>
      </c>
      <c r="D71" s="4" t="s">
        <v>51</v>
      </c>
      <c r="E71" s="1">
        <v>4</v>
      </c>
      <c r="F71" s="8">
        <f>_xlfn.XLOOKUP(TB_Vendas[[#This Row],[Código]],TB_Produtos[Código],TB_Produtos[Preço Unitário])</f>
        <v>299.89999999999998</v>
      </c>
      <c r="G71" s="37">
        <f>INDEX(TB_DESC,MATCH(TB_Vendas[[#This Row],[Qtd]],DESC_QTD,1),MATCH(_xlfn.XLOOKUP(TB_Vendas[[#This Row],[Código]],TB_Produtos[Código],TB_Produtos[Categoria]),DESC_CATEGORIAS,1))</f>
        <v>0.2</v>
      </c>
      <c r="H71" s="37">
        <f>_xlfn.XLOOKUP(TB_Vendas[[#This Row],[Vendedor]],TB_Vendedores[Código],TB_Vendedores[Desc. Máximo])</f>
        <v>0.15</v>
      </c>
      <c r="I71" s="37">
        <f>IF(TB_Vendas[[#This Row],[Desc. Vendedor]]&gt;=TB_Vendas[[#This Row],[Desconto Calculado]],TB_Vendas[Desconto Calculado],TB_Vendas[Desc. Vendedor])</f>
        <v>0.15</v>
      </c>
      <c r="J71" s="2">
        <f>TB_Vendas[[#This Row],[Preço Unitário]]*TB_Vendas[[#This Row],[Qtd]]</f>
        <v>1199.5999999999999</v>
      </c>
      <c r="K71" s="1" t="s">
        <v>119</v>
      </c>
    </row>
    <row r="72" spans="1:11">
      <c r="A72" s="1">
        <f>MONTH(TB_Vendas[[#This Row],[Data]])</f>
        <v>7</v>
      </c>
      <c r="B72" s="4" t="str">
        <f>PROPER(TEXT(DATE(,TB_Vendas[[#This Row],[Nº]],1),"Mmm"))</f>
        <v>Jul</v>
      </c>
      <c r="C72" s="3">
        <v>45133</v>
      </c>
      <c r="D72" s="4" t="s">
        <v>55</v>
      </c>
      <c r="E72" s="1">
        <v>3</v>
      </c>
      <c r="F72" s="8">
        <f>_xlfn.XLOOKUP(TB_Vendas[[#This Row],[Código]],TB_Produtos[Código],TB_Produtos[Preço Unitário])</f>
        <v>259.89999999999998</v>
      </c>
      <c r="G72" s="37">
        <f>INDEX(TB_DESC,MATCH(TB_Vendas[[#This Row],[Qtd]],DESC_QTD,1),MATCH(_xlfn.XLOOKUP(TB_Vendas[[#This Row],[Código]],TB_Produtos[Código],TB_Produtos[Categoria]),DESC_CATEGORIAS,1))</f>
        <v>0.2</v>
      </c>
      <c r="H72" s="37">
        <f>_xlfn.XLOOKUP(TB_Vendas[[#This Row],[Vendedor]],TB_Vendedores[Código],TB_Vendedores[Desc. Máximo])</f>
        <v>0.2</v>
      </c>
      <c r="I72" s="37">
        <f>IF(TB_Vendas[[#This Row],[Desc. Vendedor]]&gt;=TB_Vendas[[#This Row],[Desconto Calculado]],TB_Vendas[Desconto Calculado],TB_Vendas[Desc. Vendedor])</f>
        <v>0.2</v>
      </c>
      <c r="J72" s="2">
        <f>TB_Vendas[[#This Row],[Preço Unitário]]*TB_Vendas[[#This Row],[Qtd]]</f>
        <v>779.69999999999993</v>
      </c>
      <c r="K72" s="1" t="s">
        <v>118</v>
      </c>
    </row>
    <row r="73" spans="1:11">
      <c r="A73" s="1">
        <f>MONTH(TB_Vendas[[#This Row],[Data]])</f>
        <v>7</v>
      </c>
      <c r="B73" s="4" t="str">
        <f>PROPER(TEXT(DATE(,TB_Vendas[[#This Row],[Nº]],1),"Mmm"))</f>
        <v>Jul</v>
      </c>
      <c r="C73" s="3">
        <v>45135</v>
      </c>
      <c r="D73" s="4" t="s">
        <v>90</v>
      </c>
      <c r="E73" s="1">
        <v>9</v>
      </c>
      <c r="F73" s="8">
        <f>_xlfn.XLOOKUP(TB_Vendas[[#This Row],[Código]],TB_Produtos[Código],TB_Produtos[Preço Unitário])</f>
        <v>72.5</v>
      </c>
      <c r="G73" s="37">
        <f>INDEX(TB_DESC,MATCH(TB_Vendas[[#This Row],[Qtd]],DESC_QTD,1),MATCH(_xlfn.XLOOKUP(TB_Vendas[[#This Row],[Código]],TB_Produtos[Código],TB_Produtos[Categoria]),DESC_CATEGORIAS,1))</f>
        <v>0.25</v>
      </c>
      <c r="H73" s="37">
        <f>_xlfn.XLOOKUP(TB_Vendas[[#This Row],[Vendedor]],TB_Vendedores[Código],TB_Vendedores[Desc. Máximo])</f>
        <v>0.1</v>
      </c>
      <c r="I73" s="37">
        <f>IF(TB_Vendas[[#This Row],[Desc. Vendedor]]&gt;=TB_Vendas[[#This Row],[Desconto Calculado]],TB_Vendas[Desconto Calculado],TB_Vendas[Desc. Vendedor])</f>
        <v>0.1</v>
      </c>
      <c r="J73" s="2">
        <f>TB_Vendas[[#This Row],[Preço Unitário]]*TB_Vendas[[#This Row],[Qtd]]</f>
        <v>652.5</v>
      </c>
      <c r="K73" s="1" t="s">
        <v>117</v>
      </c>
    </row>
    <row r="74" spans="1:11">
      <c r="A74" s="1">
        <f>MONTH(TB_Vendas[[#This Row],[Data]])</f>
        <v>7</v>
      </c>
      <c r="B74" s="4" t="str">
        <f>PROPER(TEXT(DATE(,TB_Vendas[[#This Row],[Nº]],1),"Mmm"))</f>
        <v>Jul</v>
      </c>
      <c r="C74" s="3">
        <v>45136</v>
      </c>
      <c r="D74" s="4" t="s">
        <v>53</v>
      </c>
      <c r="E74" s="1">
        <v>4</v>
      </c>
      <c r="F74" s="8">
        <f>_xlfn.XLOOKUP(TB_Vendas[[#This Row],[Código]],TB_Produtos[Código],TB_Produtos[Preço Unitário])</f>
        <v>300</v>
      </c>
      <c r="G74" s="37">
        <f>INDEX(TB_DESC,MATCH(TB_Vendas[[#This Row],[Qtd]],DESC_QTD,1),MATCH(_xlfn.XLOOKUP(TB_Vendas[[#This Row],[Código]],TB_Produtos[Código],TB_Produtos[Categoria]),DESC_CATEGORIAS,1))</f>
        <v>0.2</v>
      </c>
      <c r="H74" s="37">
        <f>_xlfn.XLOOKUP(TB_Vendas[[#This Row],[Vendedor]],TB_Vendedores[Código],TB_Vendedores[Desc. Máximo])</f>
        <v>0.15</v>
      </c>
      <c r="I74" s="37">
        <f>IF(TB_Vendas[[#This Row],[Desc. Vendedor]]&gt;=TB_Vendas[[#This Row],[Desconto Calculado]],TB_Vendas[Desconto Calculado],TB_Vendas[Desc. Vendedor])</f>
        <v>0.15</v>
      </c>
      <c r="J74" s="2">
        <f>TB_Vendas[[#This Row],[Preço Unitário]]*TB_Vendas[[#This Row],[Qtd]]</f>
        <v>1200</v>
      </c>
      <c r="K74" s="1" t="s">
        <v>119</v>
      </c>
    </row>
    <row r="75" spans="1:11">
      <c r="A75" s="1">
        <f>MONTH(TB_Vendas[[#This Row],[Data]])</f>
        <v>7</v>
      </c>
      <c r="B75" s="4" t="str">
        <f>PROPER(TEXT(DATE(,TB_Vendas[[#This Row],[Nº]],1),"Mmm"))</f>
        <v>Jul</v>
      </c>
      <c r="C75" s="3">
        <v>45137</v>
      </c>
      <c r="D75" s="4" t="s">
        <v>32</v>
      </c>
      <c r="E75" s="1">
        <v>9</v>
      </c>
      <c r="F75" s="8">
        <f>_xlfn.XLOOKUP(TB_Vendas[[#This Row],[Código]],TB_Produtos[Código],TB_Produtos[Preço Unitário])</f>
        <v>65.900000000000006</v>
      </c>
      <c r="G75" s="37">
        <f>INDEX(TB_DESC,MATCH(TB_Vendas[[#This Row],[Qtd]],DESC_QTD,1),MATCH(_xlfn.XLOOKUP(TB_Vendas[[#This Row],[Código]],TB_Produtos[Código],TB_Produtos[Categoria]),DESC_CATEGORIAS,1))</f>
        <v>0.25</v>
      </c>
      <c r="H75" s="37">
        <f>_xlfn.XLOOKUP(TB_Vendas[[#This Row],[Vendedor]],TB_Vendedores[Código],TB_Vendedores[Desc. Máximo])</f>
        <v>0.15</v>
      </c>
      <c r="I75" s="37">
        <f>IF(TB_Vendas[[#This Row],[Desc. Vendedor]]&gt;=TB_Vendas[[#This Row],[Desconto Calculado]],TB_Vendas[Desconto Calculado],TB_Vendas[Desc. Vendedor])</f>
        <v>0.15</v>
      </c>
      <c r="J75" s="2">
        <f>TB_Vendas[[#This Row],[Preço Unitário]]*TB_Vendas[[#This Row],[Qtd]]</f>
        <v>593.1</v>
      </c>
      <c r="K75" s="1" t="s">
        <v>119</v>
      </c>
    </row>
    <row r="76" spans="1:11">
      <c r="A76" s="1">
        <f>MONTH(TB_Vendas[[#This Row],[Data]])</f>
        <v>8</v>
      </c>
      <c r="B76" s="4" t="str">
        <f>PROPER(TEXT(DATE(,TB_Vendas[[#This Row],[Nº]],1),"Mmm"))</f>
        <v>Ago</v>
      </c>
      <c r="C76" s="3">
        <v>45143</v>
      </c>
      <c r="D76" s="4" t="s">
        <v>40</v>
      </c>
      <c r="E76" s="1">
        <v>10</v>
      </c>
      <c r="F76" s="8">
        <f>_xlfn.XLOOKUP(TB_Vendas[[#This Row],[Código]],TB_Produtos[Código],TB_Produtos[Preço Unitário])</f>
        <v>92.9</v>
      </c>
      <c r="G76" s="37">
        <f>INDEX(TB_DESC,MATCH(TB_Vendas[[#This Row],[Qtd]],DESC_QTD,1),MATCH(_xlfn.XLOOKUP(TB_Vendas[[#This Row],[Código]],TB_Produtos[Código],TB_Produtos[Categoria]),DESC_CATEGORIAS,1))</f>
        <v>0.3</v>
      </c>
      <c r="H76" s="37">
        <f>_xlfn.XLOOKUP(TB_Vendas[[#This Row],[Vendedor]],TB_Vendedores[Código],TB_Vendedores[Desc. Máximo])</f>
        <v>0.15</v>
      </c>
      <c r="I76" s="37">
        <f>IF(TB_Vendas[[#This Row],[Desc. Vendedor]]&gt;=TB_Vendas[[#This Row],[Desconto Calculado]],TB_Vendas[Desconto Calculado],TB_Vendas[Desc. Vendedor])</f>
        <v>0.15</v>
      </c>
      <c r="J76" s="2">
        <f>TB_Vendas[[#This Row],[Preço Unitário]]*TB_Vendas[[#This Row],[Qtd]]</f>
        <v>929</v>
      </c>
      <c r="K76" s="1" t="s">
        <v>119</v>
      </c>
    </row>
    <row r="77" spans="1:11">
      <c r="A77" s="1">
        <f>MONTH(TB_Vendas[[#This Row],[Data]])</f>
        <v>8</v>
      </c>
      <c r="B77" s="4" t="str">
        <f>PROPER(TEXT(DATE(,TB_Vendas[[#This Row],[Nº]],1),"Mmm"))</f>
        <v>Ago</v>
      </c>
      <c r="C77" s="3">
        <v>45144</v>
      </c>
      <c r="D77" s="4" t="s">
        <v>107</v>
      </c>
      <c r="E77" s="1">
        <v>1</v>
      </c>
      <c r="F77" s="8">
        <f>_xlfn.XLOOKUP(TB_Vendas[[#This Row],[Código]],TB_Produtos[Código],TB_Produtos[Preço Unitário])</f>
        <v>89.9</v>
      </c>
      <c r="G77" s="37">
        <f>INDEX(TB_DESC,MATCH(TB_Vendas[[#This Row],[Qtd]],DESC_QTD,1),MATCH(_xlfn.XLOOKUP(TB_Vendas[[#This Row],[Código]],TB_Produtos[Código],TB_Produtos[Categoria]),DESC_CATEGORIAS,1))</f>
        <v>0</v>
      </c>
      <c r="H77" s="37">
        <f>_xlfn.XLOOKUP(TB_Vendas[[#This Row],[Vendedor]],TB_Vendedores[Código],TB_Vendedores[Desc. Máximo])</f>
        <v>0.1</v>
      </c>
      <c r="I77" s="37">
        <f>IF(TB_Vendas[[#This Row],[Desc. Vendedor]]&gt;=TB_Vendas[[#This Row],[Desconto Calculado]],TB_Vendas[Desconto Calculado],TB_Vendas[Desc. Vendedor])</f>
        <v>0</v>
      </c>
      <c r="J77" s="2">
        <f>TB_Vendas[[#This Row],[Preço Unitário]]*TB_Vendas[[#This Row],[Qtd]]</f>
        <v>89.9</v>
      </c>
      <c r="K77" s="1" t="s">
        <v>117</v>
      </c>
    </row>
    <row r="78" spans="1:11">
      <c r="A78" s="1">
        <f>MONTH(TB_Vendas[[#This Row],[Data]])</f>
        <v>8</v>
      </c>
      <c r="B78" s="4" t="str">
        <f>PROPER(TEXT(DATE(,TB_Vendas[[#This Row],[Nº]],1),"Mmm"))</f>
        <v>Ago</v>
      </c>
      <c r="C78" s="3">
        <v>45145</v>
      </c>
      <c r="D78" s="4" t="s">
        <v>100</v>
      </c>
      <c r="E78" s="1">
        <v>2</v>
      </c>
      <c r="F78" s="8">
        <f>_xlfn.XLOOKUP(TB_Vendas[[#This Row],[Código]],TB_Produtos[Código],TB_Produtos[Preço Unitário])</f>
        <v>49.9</v>
      </c>
      <c r="G78" s="37">
        <f>INDEX(TB_DESC,MATCH(TB_Vendas[[#This Row],[Qtd]],DESC_QTD,1),MATCH(_xlfn.XLOOKUP(TB_Vendas[[#This Row],[Código]],TB_Produtos[Código],TB_Produtos[Categoria]),DESC_CATEGORIAS,1))</f>
        <v>0.15</v>
      </c>
      <c r="H78" s="37">
        <f>_xlfn.XLOOKUP(TB_Vendas[[#This Row],[Vendedor]],TB_Vendedores[Código],TB_Vendedores[Desc. Máximo])</f>
        <v>0.1</v>
      </c>
      <c r="I78" s="37">
        <f>IF(TB_Vendas[[#This Row],[Desc. Vendedor]]&gt;=TB_Vendas[[#This Row],[Desconto Calculado]],TB_Vendas[Desconto Calculado],TB_Vendas[Desc. Vendedor])</f>
        <v>0.1</v>
      </c>
      <c r="J78" s="2">
        <f>TB_Vendas[[#This Row],[Preço Unitário]]*TB_Vendas[[#This Row],[Qtd]]</f>
        <v>99.8</v>
      </c>
      <c r="K78" s="1" t="s">
        <v>117</v>
      </c>
    </row>
    <row r="79" spans="1:11">
      <c r="A79" s="1">
        <f>MONTH(TB_Vendas[[#This Row],[Data]])</f>
        <v>8</v>
      </c>
      <c r="B79" s="4" t="str">
        <f>PROPER(TEXT(DATE(,TB_Vendas[[#This Row],[Nº]],1),"Mmm"))</f>
        <v>Ago</v>
      </c>
      <c r="C79" s="3">
        <v>45146</v>
      </c>
      <c r="D79" s="4" t="s">
        <v>85</v>
      </c>
      <c r="E79" s="1">
        <v>8</v>
      </c>
      <c r="F79" s="8">
        <f>_xlfn.XLOOKUP(TB_Vendas[[#This Row],[Código]],TB_Produtos[Código],TB_Produtos[Preço Unitário])</f>
        <v>70</v>
      </c>
      <c r="G79" s="37">
        <f>INDEX(TB_DESC,MATCH(TB_Vendas[[#This Row],[Qtd]],DESC_QTD,1),MATCH(_xlfn.XLOOKUP(TB_Vendas[[#This Row],[Código]],TB_Produtos[Código],TB_Produtos[Categoria]),DESC_CATEGORIAS,1))</f>
        <v>0.25</v>
      </c>
      <c r="H79" s="37">
        <f>_xlfn.XLOOKUP(TB_Vendas[[#This Row],[Vendedor]],TB_Vendedores[Código],TB_Vendedores[Desc. Máximo])</f>
        <v>0.25</v>
      </c>
      <c r="I79" s="37">
        <f>IF(TB_Vendas[[#This Row],[Desc. Vendedor]]&gt;=TB_Vendas[[#This Row],[Desconto Calculado]],TB_Vendas[Desconto Calculado],TB_Vendas[Desc. Vendedor])</f>
        <v>0.25</v>
      </c>
      <c r="J79" s="2">
        <f>TB_Vendas[[#This Row],[Preço Unitário]]*TB_Vendas[[#This Row],[Qtd]]</f>
        <v>560</v>
      </c>
      <c r="K79" s="1" t="s">
        <v>116</v>
      </c>
    </row>
    <row r="80" spans="1:11">
      <c r="A80" s="1">
        <f>MONTH(TB_Vendas[[#This Row],[Data]])</f>
        <v>8</v>
      </c>
      <c r="B80" s="4" t="str">
        <f>PROPER(TEXT(DATE(,TB_Vendas[[#This Row],[Nº]],1),"Mmm"))</f>
        <v>Ago</v>
      </c>
      <c r="C80" s="3">
        <v>45147</v>
      </c>
      <c r="D80" s="4" t="s">
        <v>42</v>
      </c>
      <c r="E80" s="1">
        <v>5</v>
      </c>
      <c r="F80" s="8">
        <f>_xlfn.XLOOKUP(TB_Vendas[[#This Row],[Código]],TB_Produtos[Código],TB_Produtos[Preço Unitário])</f>
        <v>46.9</v>
      </c>
      <c r="G80" s="37">
        <f>INDEX(TB_DESC,MATCH(TB_Vendas[[#This Row],[Qtd]],DESC_QTD,1),MATCH(_xlfn.XLOOKUP(TB_Vendas[[#This Row],[Código]],TB_Produtos[Código],TB_Produtos[Categoria]),DESC_CATEGORIAS,1))</f>
        <v>0.25</v>
      </c>
      <c r="H80" s="37">
        <f>_xlfn.XLOOKUP(TB_Vendas[[#This Row],[Vendedor]],TB_Vendedores[Código],TB_Vendedores[Desc. Máximo])</f>
        <v>0.1</v>
      </c>
      <c r="I80" s="37">
        <f>IF(TB_Vendas[[#This Row],[Desc. Vendedor]]&gt;=TB_Vendas[[#This Row],[Desconto Calculado]],TB_Vendas[Desconto Calculado],TB_Vendas[Desc. Vendedor])</f>
        <v>0.1</v>
      </c>
      <c r="J80" s="2">
        <f>TB_Vendas[[#This Row],[Preço Unitário]]*TB_Vendas[[#This Row],[Qtd]]</f>
        <v>234.5</v>
      </c>
      <c r="K80" s="1" t="s">
        <v>117</v>
      </c>
    </row>
    <row r="81" spans="1:11">
      <c r="A81" s="1">
        <f>MONTH(TB_Vendas[[#This Row],[Data]])</f>
        <v>8</v>
      </c>
      <c r="B81" s="4" t="str">
        <f>PROPER(TEXT(DATE(,TB_Vendas[[#This Row],[Nº]],1),"Mmm"))</f>
        <v>Ago</v>
      </c>
      <c r="C81" s="3">
        <v>45148</v>
      </c>
      <c r="D81" s="4" t="s">
        <v>94</v>
      </c>
      <c r="E81" s="1">
        <v>10</v>
      </c>
      <c r="F81" s="8">
        <f>_xlfn.XLOOKUP(TB_Vendas[[#This Row],[Código]],TB_Produtos[Código],TB_Produtos[Preço Unitário])</f>
        <v>289.89999999999998</v>
      </c>
      <c r="G81" s="37">
        <f>INDEX(TB_DESC,MATCH(TB_Vendas[[#This Row],[Qtd]],DESC_QTD,1),MATCH(_xlfn.XLOOKUP(TB_Vendas[[#This Row],[Código]],TB_Produtos[Código],TB_Produtos[Categoria]),DESC_CATEGORIAS,1))</f>
        <v>0.3</v>
      </c>
      <c r="H81" s="37">
        <f>_xlfn.XLOOKUP(TB_Vendas[[#This Row],[Vendedor]],TB_Vendedores[Código],TB_Vendedores[Desc. Máximo])</f>
        <v>0.25</v>
      </c>
      <c r="I81" s="37">
        <f>IF(TB_Vendas[[#This Row],[Desc. Vendedor]]&gt;=TB_Vendas[[#This Row],[Desconto Calculado]],TB_Vendas[Desconto Calculado],TB_Vendas[Desc. Vendedor])</f>
        <v>0.25</v>
      </c>
      <c r="J81" s="2">
        <f>TB_Vendas[[#This Row],[Preço Unitário]]*TB_Vendas[[#This Row],[Qtd]]</f>
        <v>2899</v>
      </c>
      <c r="K81" s="1" t="s">
        <v>116</v>
      </c>
    </row>
    <row r="82" spans="1:11">
      <c r="A82" s="1">
        <f>MONTH(TB_Vendas[[#This Row],[Data]])</f>
        <v>8</v>
      </c>
      <c r="B82" s="4" t="str">
        <f>PROPER(TEXT(DATE(,TB_Vendas[[#This Row],[Nº]],1),"Mmm"))</f>
        <v>Ago</v>
      </c>
      <c r="C82" s="3">
        <v>45149</v>
      </c>
      <c r="D82" s="4" t="s">
        <v>46</v>
      </c>
      <c r="E82" s="1">
        <v>1</v>
      </c>
      <c r="F82" s="8">
        <f>_xlfn.XLOOKUP(TB_Vendas[[#This Row],[Código]],TB_Produtos[Código],TB_Produtos[Preço Unitário])</f>
        <v>42.5</v>
      </c>
      <c r="G82" s="37">
        <f>INDEX(TB_DESC,MATCH(TB_Vendas[[#This Row],[Qtd]],DESC_QTD,1),MATCH(_xlfn.XLOOKUP(TB_Vendas[[#This Row],[Código]],TB_Produtos[Código],TB_Produtos[Categoria]),DESC_CATEGORIAS,1))</f>
        <v>0.1</v>
      </c>
      <c r="H82" s="37">
        <f>_xlfn.XLOOKUP(TB_Vendas[[#This Row],[Vendedor]],TB_Vendedores[Código],TB_Vendedores[Desc. Máximo])</f>
        <v>0.1</v>
      </c>
      <c r="I82" s="37">
        <f>IF(TB_Vendas[[#This Row],[Desc. Vendedor]]&gt;=TB_Vendas[[#This Row],[Desconto Calculado]],TB_Vendas[Desconto Calculado],TB_Vendas[Desc. Vendedor])</f>
        <v>0.1</v>
      </c>
      <c r="J82" s="2">
        <f>TB_Vendas[[#This Row],[Preço Unitário]]*TB_Vendas[[#This Row],[Qtd]]</f>
        <v>42.5</v>
      </c>
      <c r="K82" s="1" t="s">
        <v>117</v>
      </c>
    </row>
    <row r="83" spans="1:11">
      <c r="A83" s="1">
        <f>MONTH(TB_Vendas[[#This Row],[Data]])</f>
        <v>8</v>
      </c>
      <c r="B83" s="4" t="str">
        <f>PROPER(TEXT(DATE(,TB_Vendas[[#This Row],[Nº]],1),"Mmm"))</f>
        <v>Ago</v>
      </c>
      <c r="C83" s="3">
        <v>45150</v>
      </c>
      <c r="D83" s="4" t="s">
        <v>104</v>
      </c>
      <c r="E83" s="1">
        <v>2</v>
      </c>
      <c r="F83" s="8">
        <f>_xlfn.XLOOKUP(TB_Vendas[[#This Row],[Código]],TB_Produtos[Código],TB_Produtos[Preço Unitário])</f>
        <v>89.9</v>
      </c>
      <c r="G83" s="37">
        <f>INDEX(TB_DESC,MATCH(TB_Vendas[[#This Row],[Qtd]],DESC_QTD,1),MATCH(_xlfn.XLOOKUP(TB_Vendas[[#This Row],[Código]],TB_Produtos[Código],TB_Produtos[Categoria]),DESC_CATEGORIAS,1))</f>
        <v>0.05</v>
      </c>
      <c r="H83" s="37">
        <f>_xlfn.XLOOKUP(TB_Vendas[[#This Row],[Vendedor]],TB_Vendedores[Código],TB_Vendedores[Desc. Máximo])</f>
        <v>0.25</v>
      </c>
      <c r="I83" s="37">
        <f>IF(TB_Vendas[[#This Row],[Desc. Vendedor]]&gt;=TB_Vendas[[#This Row],[Desconto Calculado]],TB_Vendas[Desconto Calculado],TB_Vendas[Desc. Vendedor])</f>
        <v>0.05</v>
      </c>
      <c r="J83" s="2">
        <f>TB_Vendas[[#This Row],[Preço Unitário]]*TB_Vendas[[#This Row],[Qtd]]</f>
        <v>179.8</v>
      </c>
      <c r="K83" s="1" t="s">
        <v>116</v>
      </c>
    </row>
    <row r="84" spans="1:11">
      <c r="A84" s="1">
        <f>MONTH(TB_Vendas[[#This Row],[Data]])</f>
        <v>8</v>
      </c>
      <c r="B84" s="4" t="str">
        <f>PROPER(TEXT(DATE(,TB_Vendas[[#This Row],[Nº]],1),"Mmm"))</f>
        <v>Ago</v>
      </c>
      <c r="C84" s="3">
        <v>45151</v>
      </c>
      <c r="D84" s="4" t="s">
        <v>60</v>
      </c>
      <c r="E84" s="1">
        <v>3</v>
      </c>
      <c r="F84" s="8">
        <f>_xlfn.XLOOKUP(TB_Vendas[[#This Row],[Código]],TB_Produtos[Código],TB_Produtos[Preço Unitário])</f>
        <v>255</v>
      </c>
      <c r="G84" s="37">
        <f>INDEX(TB_DESC,MATCH(TB_Vendas[[#This Row],[Qtd]],DESC_QTD,1),MATCH(_xlfn.XLOOKUP(TB_Vendas[[#This Row],[Código]],TB_Produtos[Código],TB_Produtos[Categoria]),DESC_CATEGORIAS,1))</f>
        <v>0.15</v>
      </c>
      <c r="H84" s="37">
        <f>_xlfn.XLOOKUP(TB_Vendas[[#This Row],[Vendedor]],TB_Vendedores[Código],TB_Vendedores[Desc. Máximo])</f>
        <v>0.2</v>
      </c>
      <c r="I84" s="37">
        <f>IF(TB_Vendas[[#This Row],[Desc. Vendedor]]&gt;=TB_Vendas[[#This Row],[Desconto Calculado]],TB_Vendas[Desconto Calculado],TB_Vendas[Desc. Vendedor])</f>
        <v>0.15</v>
      </c>
      <c r="J84" s="2">
        <f>TB_Vendas[[#This Row],[Preço Unitário]]*TB_Vendas[[#This Row],[Qtd]]</f>
        <v>765</v>
      </c>
      <c r="K84" s="1" t="s">
        <v>115</v>
      </c>
    </row>
    <row r="85" spans="1:11">
      <c r="A85" s="1">
        <f>MONTH(TB_Vendas[[#This Row],[Data]])</f>
        <v>8</v>
      </c>
      <c r="B85" s="4" t="str">
        <f>PROPER(TEXT(DATE(,TB_Vendas[[#This Row],[Nº]],1),"Mmm"))</f>
        <v>Ago</v>
      </c>
      <c r="C85" s="3">
        <v>45152</v>
      </c>
      <c r="D85" s="4" t="s">
        <v>46</v>
      </c>
      <c r="E85" s="1">
        <v>6</v>
      </c>
      <c r="F85" s="8">
        <f>_xlfn.XLOOKUP(TB_Vendas[[#This Row],[Código]],TB_Produtos[Código],TB_Produtos[Preço Unitário])</f>
        <v>42.5</v>
      </c>
      <c r="G85" s="37">
        <f>INDEX(TB_DESC,MATCH(TB_Vendas[[#This Row],[Qtd]],DESC_QTD,1),MATCH(_xlfn.XLOOKUP(TB_Vendas[[#This Row],[Código]],TB_Produtos[Código],TB_Produtos[Categoria]),DESC_CATEGORIAS,1))</f>
        <v>0.25</v>
      </c>
      <c r="H85" s="37">
        <f>_xlfn.XLOOKUP(TB_Vendas[[#This Row],[Vendedor]],TB_Vendedores[Código],TB_Vendedores[Desc. Máximo])</f>
        <v>0.2</v>
      </c>
      <c r="I85" s="37">
        <f>IF(TB_Vendas[[#This Row],[Desc. Vendedor]]&gt;=TB_Vendas[[#This Row],[Desconto Calculado]],TB_Vendas[Desconto Calculado],TB_Vendas[Desc. Vendedor])</f>
        <v>0.2</v>
      </c>
      <c r="J85" s="2">
        <f>TB_Vendas[[#This Row],[Preço Unitário]]*TB_Vendas[[#This Row],[Qtd]]</f>
        <v>255</v>
      </c>
      <c r="K85" s="1" t="s">
        <v>118</v>
      </c>
    </row>
    <row r="86" spans="1:11">
      <c r="A86" s="1">
        <f>MONTH(TB_Vendas[[#This Row],[Data]])</f>
        <v>8</v>
      </c>
      <c r="B86" s="4" t="str">
        <f>PROPER(TEXT(DATE(,TB_Vendas[[#This Row],[Nº]],1),"Mmm"))</f>
        <v>Ago</v>
      </c>
      <c r="C86" s="3">
        <v>45153</v>
      </c>
      <c r="D86" s="4" t="s">
        <v>45</v>
      </c>
      <c r="E86" s="1">
        <v>8</v>
      </c>
      <c r="F86" s="8">
        <f>_xlfn.XLOOKUP(TB_Vendas[[#This Row],[Código]],TB_Produtos[Código],TB_Produtos[Preço Unitário])</f>
        <v>39.9</v>
      </c>
      <c r="G86" s="37">
        <f>INDEX(TB_DESC,MATCH(TB_Vendas[[#This Row],[Qtd]],DESC_QTD,1),MATCH(_xlfn.XLOOKUP(TB_Vendas[[#This Row],[Código]],TB_Produtos[Código],TB_Produtos[Categoria]),DESC_CATEGORIAS,1))</f>
        <v>0.25</v>
      </c>
      <c r="H86" s="37">
        <f>_xlfn.XLOOKUP(TB_Vendas[[#This Row],[Vendedor]],TB_Vendedores[Código],TB_Vendedores[Desc. Máximo])</f>
        <v>0.25</v>
      </c>
      <c r="I86" s="37">
        <f>IF(TB_Vendas[[#This Row],[Desc. Vendedor]]&gt;=TB_Vendas[[#This Row],[Desconto Calculado]],TB_Vendas[Desconto Calculado],TB_Vendas[Desc. Vendedor])</f>
        <v>0.25</v>
      </c>
      <c r="J86" s="2">
        <f>TB_Vendas[[#This Row],[Preço Unitário]]*TB_Vendas[[#This Row],[Qtd]]</f>
        <v>319.2</v>
      </c>
      <c r="K86" s="1" t="s">
        <v>116</v>
      </c>
    </row>
  </sheetData>
  <phoneticPr fontId="11" type="noConversion"/>
  <conditionalFormatting sqref="E4:I4">
    <cfRule type="cellIs" dxfId="0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4"/>
  <dimension ref="A1:I20"/>
  <sheetViews>
    <sheetView showGridLines="0" workbookViewId="0">
      <selection activeCell="W4" sqref="W4:AN7"/>
    </sheetView>
  </sheetViews>
  <sheetFormatPr defaultColWidth="8.90625" defaultRowHeight="14.5" zeroHeight="1"/>
  <cols>
    <col min="1" max="1" width="8.90625" customWidth="1"/>
    <col min="2" max="2" width="21.90625" customWidth="1"/>
    <col min="3" max="3" width="34" customWidth="1"/>
    <col min="4" max="4" width="42.453125" customWidth="1"/>
    <col min="5" max="5" width="21.90625" customWidth="1"/>
    <col min="6" max="6" width="34" customWidth="1"/>
    <col min="7" max="7" width="34.81640625" customWidth="1"/>
    <col min="8" max="9" width="8.90625" customWidth="1"/>
  </cols>
  <sheetData>
    <row r="1" spans="1:9" s="16" customFormat="1" ht="40.25" customHeight="1">
      <c r="A1" s="19"/>
      <c r="B1" s="23" t="s">
        <v>134</v>
      </c>
      <c r="C1" s="21"/>
      <c r="D1" s="21"/>
      <c r="E1" s="21"/>
      <c r="F1" s="21"/>
      <c r="G1" s="21"/>
      <c r="H1" s="21"/>
      <c r="I1" s="21"/>
    </row>
    <row r="2" spans="1:9" s="17" customFormat="1" ht="4.5" customHeight="1">
      <c r="A2" s="20"/>
      <c r="B2" s="20"/>
      <c r="C2" s="20"/>
      <c r="D2" s="20"/>
      <c r="E2" s="20"/>
      <c r="F2" s="20"/>
    </row>
    <row r="3" spans="1:9" ht="4.5" customHeight="1">
      <c r="A3" s="18"/>
      <c r="B3" s="18"/>
      <c r="C3" s="18"/>
      <c r="D3" s="18"/>
      <c r="E3" s="18"/>
      <c r="F3" s="18"/>
    </row>
    <row r="4" spans="1:9" ht="23.25" customHeight="1">
      <c r="A4" s="18"/>
      <c r="B4" s="99" t="s">
        <v>143</v>
      </c>
      <c r="C4" s="99"/>
      <c r="D4" s="18"/>
      <c r="E4" s="99" t="s">
        <v>150</v>
      </c>
      <c r="F4" s="99"/>
    </row>
    <row r="5" spans="1:9" ht="5.25" customHeight="1" thickBot="1"/>
    <row r="6" spans="1:9" ht="24.65" customHeight="1" thickBot="1">
      <c r="B6" s="39" t="s">
        <v>144</v>
      </c>
      <c r="C6" s="38" t="s">
        <v>104</v>
      </c>
      <c r="E6" s="39" t="s">
        <v>149</v>
      </c>
      <c r="F6" s="43">
        <v>44949</v>
      </c>
    </row>
    <row r="7" spans="1:9" ht="24.65" customHeight="1" thickTop="1" thickBot="1">
      <c r="B7" s="39" t="s">
        <v>145</v>
      </c>
      <c r="C7" s="26" t="str">
        <f>IFERROR(VLOOKUP($C$6,TB_Produtos[#All],2,FALSE),"")</f>
        <v>Sandália Rasteira</v>
      </c>
      <c r="D7" s="48"/>
      <c r="E7" s="39" t="s">
        <v>152</v>
      </c>
      <c r="F7" s="26" t="str">
        <f>_xlfn.XLOOKUP(WEEKDAY(F6),'Cadastros Auxiliares'!B4:I4,'Cadastros Auxiliares'!B5:I5,"")</f>
        <v>Segunda-feira</v>
      </c>
      <c r="G7" s="49"/>
    </row>
    <row r="8" spans="1:9" ht="24.65" customHeight="1" thickTop="1" thickBot="1">
      <c r="B8" s="40" t="s">
        <v>146</v>
      </c>
      <c r="C8" s="24">
        <f>_xlfn.XLOOKUP($C$6,TB_Produtos[Código],TB_Produtos[Tamanho],"")</f>
        <v>35</v>
      </c>
      <c r="D8" s="47"/>
      <c r="E8" s="40" t="s">
        <v>153</v>
      </c>
      <c r="F8" s="44">
        <f>SUMIF(TB_Vendas[Data],F6,TB_Vendas[Total])</f>
        <v>146</v>
      </c>
      <c r="G8" s="25"/>
    </row>
    <row r="9" spans="1:9" ht="24.65" customHeight="1" thickTop="1" thickBot="1">
      <c r="B9" s="41" t="s">
        <v>147</v>
      </c>
      <c r="C9" s="24" t="str">
        <f>IFERROR(VLOOKUP($C$6,TB_Produtos[#All],4,FALSE),"")</f>
        <v>Calçado</v>
      </c>
      <c r="E9" s="42" t="s">
        <v>151</v>
      </c>
      <c r="F9" s="27">
        <f>SUMIF(TB_Vendas[[#All],[Data]],Consultas!$F$6,TB_Vendas[[#All],[Qtd]])</f>
        <v>1</v>
      </c>
      <c r="G9" s="25"/>
    </row>
    <row r="10" spans="1:9" ht="24.65" customHeight="1" thickTop="1" thickBot="1">
      <c r="B10" s="41" t="s">
        <v>154</v>
      </c>
      <c r="C10" s="44">
        <f>_xlfn.XLOOKUP($C$6,TB_Produtos[Código],TB_Produtos[Preço Unitário],"")</f>
        <v>89.9</v>
      </c>
      <c r="G10" s="25"/>
    </row>
    <row r="11" spans="1:9" ht="24.65" customHeight="1" thickTop="1" thickBot="1">
      <c r="B11" s="39" t="s">
        <v>148</v>
      </c>
      <c r="C11" s="26">
        <f>_xlfn.XLOOKUP($C$6,TB_Produtos[Código],TB_Produtos[Estoque],)</f>
        <v>48</v>
      </c>
      <c r="G11" s="25"/>
    </row>
    <row r="12" spans="1:9" ht="22.5" thickTop="1" thickBot="1">
      <c r="B12" s="45" t="s">
        <v>155</v>
      </c>
      <c r="C12" s="78" t="str" cm="1">
        <f t="array" ref="C12">_xlfn.IFS(C11=0,"Estoque zerado",C11&gt;=_xlfn.XLOOKUP(C9,'Cadastros Auxiliares'!G8:G11,'Cadastros Auxiliares'!H8:H11),"Estoque OK",1,"Rever estoque")</f>
        <v>Estoque OK</v>
      </c>
      <c r="E12" s="50"/>
    </row>
    <row r="13" spans="1:9" ht="24" thickBot="1">
      <c r="B13" s="45" t="s">
        <v>165</v>
      </c>
      <c r="C13" s="77">
        <f>_xlfn.XLOOKUP(C9,'Cadastros Auxiliares'!G8:G11,'Cadastros Auxiliares'!H8:H11)</f>
        <v>15</v>
      </c>
      <c r="E13" s="46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  <x14:dataValidation type="list" allowBlank="1" showInputMessage="1" showErrorMessage="1" xr:uid="{D14864B3-67D5-45F6-83BC-59307DFC7664}">
          <x14:formula1>
            <xm:f>Vendas!$C:$C</xm:f>
          </x14:formula1>
          <xm:sqref>F6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7C7E6-286F-4F16-807C-A6E41FB576F4}">
  <sheetPr codeName="Planilha15"/>
  <dimension ref="A1:F64"/>
  <sheetViews>
    <sheetView workbookViewId="0">
      <selection activeCell="F2" sqref="F2"/>
    </sheetView>
  </sheetViews>
  <sheetFormatPr defaultRowHeight="14.5"/>
  <cols>
    <col min="1" max="1" width="9.453125" bestFit="1" customWidth="1"/>
    <col min="2" max="2" width="18.36328125" bestFit="1" customWidth="1"/>
    <col min="3" max="3" width="12.08984375" bestFit="1" customWidth="1"/>
    <col min="4" max="4" width="12.36328125" bestFit="1" customWidth="1"/>
    <col min="5" max="5" width="10.54296875" bestFit="1" customWidth="1"/>
    <col min="6" max="6" width="17.81640625" bestFit="1" customWidth="1"/>
  </cols>
  <sheetData>
    <row r="1" spans="1:6" ht="18.5">
      <c r="A1" s="90" t="s">
        <v>30</v>
      </c>
      <c r="B1" s="91" t="s">
        <v>0</v>
      </c>
      <c r="C1" s="91" t="s">
        <v>1</v>
      </c>
      <c r="D1" s="91" t="s">
        <v>10</v>
      </c>
      <c r="E1" s="91" t="s">
        <v>76</v>
      </c>
      <c r="F1" s="92" t="s">
        <v>11</v>
      </c>
    </row>
    <row r="2" spans="1:6">
      <c r="A2" s="93" t="s">
        <v>186</v>
      </c>
      <c r="B2" s="94"/>
      <c r="C2" s="95"/>
      <c r="D2" s="94" t="s">
        <v>12</v>
      </c>
      <c r="E2" s="95" t="s">
        <v>187</v>
      </c>
      <c r="F2" s="96"/>
    </row>
    <row r="4" spans="1:6" ht="18.5">
      <c r="A4" s="10" t="s">
        <v>30</v>
      </c>
      <c r="B4" s="10" t="s">
        <v>0</v>
      </c>
      <c r="C4" s="10" t="s">
        <v>1</v>
      </c>
      <c r="D4" s="10" t="s">
        <v>10</v>
      </c>
      <c r="E4" s="10" t="s">
        <v>76</v>
      </c>
      <c r="F4" s="10" t="s">
        <v>11</v>
      </c>
    </row>
    <row r="5" spans="1:6">
      <c r="A5" s="1" t="s">
        <v>98</v>
      </c>
      <c r="B5" t="s">
        <v>97</v>
      </c>
      <c r="C5" s="1" t="s">
        <v>3</v>
      </c>
      <c r="D5" t="s">
        <v>12</v>
      </c>
      <c r="E5" s="1">
        <v>42</v>
      </c>
      <c r="F5" s="9">
        <v>32.9</v>
      </c>
    </row>
    <row r="6" spans="1:6">
      <c r="A6" s="1" t="s">
        <v>99</v>
      </c>
      <c r="B6" t="s">
        <v>97</v>
      </c>
      <c r="C6" s="1" t="s">
        <v>4</v>
      </c>
      <c r="D6" t="s">
        <v>12</v>
      </c>
      <c r="E6" s="1">
        <v>48</v>
      </c>
      <c r="F6" s="9">
        <v>32.9</v>
      </c>
    </row>
    <row r="7" spans="1:6">
      <c r="A7" s="1" t="s">
        <v>100</v>
      </c>
      <c r="B7" t="s">
        <v>101</v>
      </c>
      <c r="C7" s="1" t="s">
        <v>2</v>
      </c>
      <c r="D7" t="s">
        <v>12</v>
      </c>
      <c r="E7" s="1">
        <v>35</v>
      </c>
      <c r="F7" s="9">
        <v>49.9</v>
      </c>
    </row>
    <row r="8" spans="1:6">
      <c r="A8" s="1" t="s">
        <v>102</v>
      </c>
      <c r="B8" t="s">
        <v>101</v>
      </c>
      <c r="C8" s="1" t="s">
        <v>3</v>
      </c>
      <c r="D8" t="s">
        <v>12</v>
      </c>
      <c r="E8" s="1">
        <v>40</v>
      </c>
      <c r="F8" s="9">
        <v>49.9</v>
      </c>
    </row>
    <row r="9" spans="1:6">
      <c r="A9" s="1" t="s">
        <v>108</v>
      </c>
      <c r="B9" t="s">
        <v>110</v>
      </c>
      <c r="C9" s="1" t="s">
        <v>2</v>
      </c>
      <c r="D9" t="s">
        <v>12</v>
      </c>
      <c r="E9" s="1">
        <v>40</v>
      </c>
      <c r="F9" s="2">
        <v>180</v>
      </c>
    </row>
    <row r="10" spans="1:6">
      <c r="A10" s="1" t="s">
        <v>111</v>
      </c>
      <c r="B10" t="s">
        <v>110</v>
      </c>
      <c r="C10" s="1" t="s">
        <v>3</v>
      </c>
      <c r="D10" t="s">
        <v>12</v>
      </c>
      <c r="E10" s="1">
        <v>35</v>
      </c>
      <c r="F10" s="2">
        <v>180</v>
      </c>
    </row>
    <row r="11" spans="1:6">
      <c r="A11" s="1"/>
      <c r="C11" s="1"/>
      <c r="E11" s="1"/>
      <c r="F11" s="2"/>
    </row>
    <row r="12" spans="1:6">
      <c r="A12" s="1"/>
      <c r="C12" s="1"/>
      <c r="E12" s="1"/>
      <c r="F12" s="2"/>
    </row>
    <row r="13" spans="1:6">
      <c r="A13" s="1"/>
      <c r="C13" s="1"/>
      <c r="E13" s="1"/>
      <c r="F13" s="2"/>
    </row>
    <row r="14" spans="1:6">
      <c r="A14" s="1"/>
      <c r="C14" s="1"/>
      <c r="E14" s="1"/>
      <c r="F14" s="2"/>
    </row>
    <row r="15" spans="1:6">
      <c r="A15" s="1"/>
      <c r="C15" s="1"/>
      <c r="E15" s="1"/>
      <c r="F15" s="2"/>
    </row>
    <row r="16" spans="1:6">
      <c r="A16" s="1"/>
      <c r="C16" s="1"/>
      <c r="E16" s="1"/>
      <c r="F16" s="2"/>
    </row>
    <row r="17" spans="1:6">
      <c r="A17" s="1"/>
      <c r="C17" s="1"/>
      <c r="E17" s="1"/>
      <c r="F17" s="2"/>
    </row>
    <row r="18" spans="1:6">
      <c r="A18" s="1"/>
      <c r="C18" s="1"/>
      <c r="E18" s="1"/>
      <c r="F18" s="2"/>
    </row>
    <row r="19" spans="1:6">
      <c r="A19" s="1"/>
      <c r="C19" s="1"/>
      <c r="E19" s="1"/>
      <c r="F19" s="2"/>
    </row>
    <row r="20" spans="1:6">
      <c r="A20" s="1"/>
      <c r="C20" s="1"/>
      <c r="E20" s="1"/>
      <c r="F20" s="2"/>
    </row>
    <row r="21" spans="1:6">
      <c r="A21" s="1"/>
      <c r="C21" s="1"/>
      <c r="E21" s="1"/>
      <c r="F21" s="2"/>
    </row>
    <row r="22" spans="1:6">
      <c r="A22" s="1"/>
      <c r="C22" s="1"/>
      <c r="E22" s="1"/>
      <c r="F22" s="2"/>
    </row>
    <row r="23" spans="1:6">
      <c r="A23" s="1"/>
      <c r="C23" s="1"/>
      <c r="E23" s="1"/>
      <c r="F23" s="2"/>
    </row>
    <row r="24" spans="1:6">
      <c r="A24" s="1"/>
      <c r="C24" s="1"/>
      <c r="E24" s="1"/>
      <c r="F24" s="2"/>
    </row>
    <row r="25" spans="1:6">
      <c r="A25" s="1"/>
      <c r="C25" s="1"/>
      <c r="E25" s="1"/>
      <c r="F25" s="2"/>
    </row>
    <row r="26" spans="1:6">
      <c r="A26" s="1"/>
      <c r="C26" s="1"/>
      <c r="E26" s="1"/>
      <c r="F26" s="2"/>
    </row>
    <row r="27" spans="1:6">
      <c r="A27" s="1"/>
      <c r="C27" s="1"/>
      <c r="E27" s="1"/>
      <c r="F27" s="2"/>
    </row>
    <row r="28" spans="1:6">
      <c r="A28" s="1"/>
      <c r="C28" s="1"/>
      <c r="E28" s="1"/>
      <c r="F28" s="2"/>
    </row>
    <row r="29" spans="1:6">
      <c r="A29" s="1"/>
      <c r="C29" s="1"/>
      <c r="E29" s="1"/>
      <c r="F29" s="2"/>
    </row>
    <row r="30" spans="1:6">
      <c r="A30" s="1"/>
      <c r="C30" s="1"/>
      <c r="E30" s="1"/>
      <c r="F30" s="2"/>
    </row>
    <row r="31" spans="1:6">
      <c r="A31" s="1"/>
      <c r="C31" s="1"/>
      <c r="E31" s="1"/>
      <c r="F31" s="2"/>
    </row>
    <row r="32" spans="1:6">
      <c r="A32" s="1"/>
      <c r="C32" s="1"/>
      <c r="E32" s="1"/>
      <c r="F32" s="9"/>
    </row>
    <row r="33" spans="1:6">
      <c r="A33" s="1"/>
      <c r="C33" s="1"/>
      <c r="E33" s="1"/>
      <c r="F33" s="9"/>
    </row>
    <row r="34" spans="1:6">
      <c r="A34" s="1"/>
      <c r="C34" s="1"/>
      <c r="E34" s="1"/>
      <c r="F34" s="9"/>
    </row>
    <row r="35" spans="1:6">
      <c r="A35" s="1"/>
      <c r="C35" s="1"/>
      <c r="E35" s="1"/>
      <c r="F35" s="9"/>
    </row>
    <row r="36" spans="1:6">
      <c r="A36" s="1"/>
      <c r="C36" s="1"/>
      <c r="E36" s="1"/>
      <c r="F36" s="9"/>
    </row>
    <row r="37" spans="1:6">
      <c r="A37" s="1"/>
      <c r="C37" s="1"/>
      <c r="E37" s="1"/>
      <c r="F37" s="9"/>
    </row>
    <row r="38" spans="1:6">
      <c r="A38" s="1"/>
      <c r="C38" s="1"/>
      <c r="E38" s="1"/>
      <c r="F38" s="9"/>
    </row>
    <row r="39" spans="1:6">
      <c r="A39" s="1"/>
      <c r="C39" s="1"/>
      <c r="E39" s="1"/>
      <c r="F39" s="9"/>
    </row>
    <row r="40" spans="1:6">
      <c r="A40" s="1"/>
      <c r="C40" s="1"/>
      <c r="E40" s="1"/>
      <c r="F40" s="9"/>
    </row>
    <row r="41" spans="1:6">
      <c r="A41" s="1"/>
      <c r="C41" s="1"/>
      <c r="E41" s="1"/>
      <c r="F41" s="9"/>
    </row>
    <row r="42" spans="1:6">
      <c r="A42" s="1"/>
      <c r="C42" s="1"/>
      <c r="E42" s="1"/>
      <c r="F42" s="9"/>
    </row>
    <row r="43" spans="1:6">
      <c r="A43" s="1"/>
      <c r="C43" s="1"/>
      <c r="E43" s="1"/>
      <c r="F43" s="9"/>
    </row>
    <row r="44" spans="1:6">
      <c r="A44" s="1"/>
      <c r="C44" s="1"/>
      <c r="E44" s="1"/>
      <c r="F44" s="9"/>
    </row>
    <row r="45" spans="1:6">
      <c r="A45" s="1"/>
      <c r="C45" s="1"/>
      <c r="E45" s="1"/>
      <c r="F45" s="9"/>
    </row>
    <row r="46" spans="1:6">
      <c r="A46" s="1"/>
      <c r="C46" s="1"/>
      <c r="E46" s="1"/>
      <c r="F46" s="9"/>
    </row>
    <row r="47" spans="1:6">
      <c r="A47" s="1"/>
      <c r="C47" s="1"/>
      <c r="E47" s="1"/>
      <c r="F47" s="2"/>
    </row>
    <row r="48" spans="1:6">
      <c r="A48" s="1"/>
      <c r="C48" s="1"/>
      <c r="E48" s="1"/>
      <c r="F48" s="2"/>
    </row>
    <row r="49" spans="1:6">
      <c r="A49" s="1"/>
      <c r="C49" s="1"/>
      <c r="E49" s="1"/>
      <c r="F49" s="2"/>
    </row>
    <row r="50" spans="1:6">
      <c r="A50" s="1"/>
      <c r="C50" s="1"/>
      <c r="E50" s="1"/>
      <c r="F50" s="9"/>
    </row>
    <row r="51" spans="1:6">
      <c r="A51" s="1"/>
      <c r="C51" s="1"/>
      <c r="E51" s="1"/>
      <c r="F51" s="9"/>
    </row>
    <row r="52" spans="1:6">
      <c r="A52" s="1"/>
      <c r="C52" s="1"/>
      <c r="E52" s="1"/>
      <c r="F52" s="9"/>
    </row>
    <row r="53" spans="1:6">
      <c r="A53" s="1"/>
      <c r="C53" s="1"/>
      <c r="E53" s="1"/>
      <c r="F53" s="9"/>
    </row>
    <row r="54" spans="1:6">
      <c r="A54" s="1"/>
      <c r="C54" s="1"/>
      <c r="E54" s="1"/>
      <c r="F54" s="9"/>
    </row>
    <row r="55" spans="1:6">
      <c r="A55" s="1"/>
      <c r="C55" s="1"/>
      <c r="E55" s="1"/>
      <c r="F55" s="9"/>
    </row>
    <row r="56" spans="1:6">
      <c r="A56" s="1"/>
      <c r="C56" s="1"/>
      <c r="E56" s="1"/>
      <c r="F56" s="9"/>
    </row>
    <row r="57" spans="1:6">
      <c r="A57" s="1"/>
      <c r="C57" s="1"/>
      <c r="E57" s="1"/>
      <c r="F57" s="9"/>
    </row>
    <row r="58" spans="1:6">
      <c r="A58" s="1"/>
      <c r="C58" s="1"/>
      <c r="E58" s="1"/>
      <c r="F58" s="9"/>
    </row>
    <row r="59" spans="1:6">
      <c r="A59" s="1"/>
      <c r="C59" s="1"/>
      <c r="E59" s="1"/>
      <c r="F59" s="9"/>
    </row>
    <row r="60" spans="1:6">
      <c r="A60" s="1"/>
      <c r="C60" s="1"/>
      <c r="E60" s="1"/>
      <c r="F60" s="2"/>
    </row>
    <row r="61" spans="1:6">
      <c r="A61" s="1"/>
      <c r="C61" s="1"/>
      <c r="E61" s="1"/>
      <c r="F61" s="2"/>
    </row>
    <row r="62" spans="1:6">
      <c r="A62" s="1"/>
      <c r="C62" s="1"/>
      <c r="E62" s="1"/>
      <c r="F62" s="2"/>
    </row>
    <row r="63" spans="1:6">
      <c r="A63" s="1"/>
      <c r="C63" s="1"/>
      <c r="E63" s="1"/>
      <c r="F63" s="2"/>
    </row>
    <row r="64" spans="1:6">
      <c r="A64" s="1"/>
      <c r="C64" s="1"/>
      <c r="E64" s="1"/>
      <c r="F64" s="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Filtro_Avançado">
                <anchor moveWithCells="1" sizeWithCells="1">
                  <from>
                    <xdr:col>7</xdr:col>
                    <xdr:colOff>158750</xdr:colOff>
                    <xdr:row>2</xdr:row>
                    <xdr:rowOff>133350</xdr:rowOff>
                  </from>
                  <to>
                    <xdr:col>10</xdr:col>
                    <xdr:colOff>107950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6"/>
  <dimension ref="B1:J20"/>
  <sheetViews>
    <sheetView workbookViewId="0">
      <selection activeCell="F41" sqref="F41"/>
    </sheetView>
  </sheetViews>
  <sheetFormatPr defaultRowHeight="14.5"/>
  <cols>
    <col min="1" max="1" width="8" customWidth="1"/>
    <col min="2" max="2" width="30.90625" customWidth="1"/>
    <col min="3" max="7" width="17.453125" customWidth="1"/>
    <col min="8" max="8" width="23.1796875" bestFit="1" customWidth="1"/>
    <col min="9" max="9" width="17.453125" customWidth="1"/>
  </cols>
  <sheetData>
    <row r="1" spans="2:10" s="16" customFormat="1" ht="40.25" customHeight="1">
      <c r="B1" s="36" t="s">
        <v>125</v>
      </c>
      <c r="C1" s="23"/>
      <c r="D1" s="23"/>
      <c r="E1" s="23"/>
      <c r="F1" s="23"/>
      <c r="G1" s="23"/>
      <c r="H1" s="23"/>
      <c r="I1" s="21"/>
      <c r="J1" s="21"/>
    </row>
    <row r="2" spans="2:10" s="17" customFormat="1" ht="4.5" customHeight="1">
      <c r="B2" s="20"/>
      <c r="C2" s="20"/>
      <c r="D2" s="20"/>
      <c r="E2" s="20"/>
      <c r="F2" s="20"/>
      <c r="G2" s="20"/>
    </row>
    <row r="3" spans="2:10" ht="4.5" customHeight="1" thickBot="1">
      <c r="B3" s="18"/>
      <c r="C3" s="18"/>
      <c r="D3" s="18"/>
      <c r="E3" s="18"/>
      <c r="F3" s="18"/>
      <c r="G3" s="18"/>
    </row>
    <row r="4" spans="2:10" ht="22" thickBot="1">
      <c r="B4" s="11" t="s">
        <v>30</v>
      </c>
      <c r="C4" s="14">
        <v>1</v>
      </c>
      <c r="D4" s="15">
        <v>2</v>
      </c>
      <c r="E4" s="14">
        <v>3</v>
      </c>
      <c r="F4" s="15">
        <v>4</v>
      </c>
      <c r="G4" s="14">
        <v>5</v>
      </c>
      <c r="H4" s="15">
        <v>6</v>
      </c>
      <c r="I4" s="14">
        <v>7</v>
      </c>
    </row>
    <row r="5" spans="2:10" s="30" customFormat="1" ht="22" thickBot="1">
      <c r="B5" s="28" t="s">
        <v>126</v>
      </c>
      <c r="C5" s="29" t="s">
        <v>127</v>
      </c>
      <c r="D5" s="29" t="s">
        <v>128</v>
      </c>
      <c r="E5" s="29" t="s">
        <v>129</v>
      </c>
      <c r="F5" s="29" t="s">
        <v>130</v>
      </c>
      <c r="G5" s="29" t="s">
        <v>131</v>
      </c>
      <c r="H5" s="29" t="s">
        <v>132</v>
      </c>
      <c r="I5" s="29" t="s">
        <v>133</v>
      </c>
    </row>
    <row r="7" spans="2:10" ht="15" thickBot="1"/>
    <row r="8" spans="2:10" ht="43.5" thickBot="1">
      <c r="B8" s="33" t="s">
        <v>142</v>
      </c>
      <c r="C8" s="34" t="s">
        <v>13</v>
      </c>
      <c r="D8" s="34" t="s">
        <v>12</v>
      </c>
      <c r="E8" s="34" t="s">
        <v>14</v>
      </c>
      <c r="G8" s="34" t="s">
        <v>10</v>
      </c>
      <c r="H8" s="34" t="s">
        <v>156</v>
      </c>
    </row>
    <row r="9" spans="2:10" ht="17" thickBot="1">
      <c r="B9" s="29">
        <v>1</v>
      </c>
      <c r="C9" s="32">
        <v>0</v>
      </c>
      <c r="D9" s="32">
        <v>0.1</v>
      </c>
      <c r="E9" s="35">
        <v>0</v>
      </c>
      <c r="G9" s="32" t="s">
        <v>13</v>
      </c>
      <c r="H9" s="51">
        <v>5</v>
      </c>
    </row>
    <row r="10" spans="2:10" ht="17" thickBot="1">
      <c r="B10" s="29">
        <v>2</v>
      </c>
      <c r="C10" s="32">
        <v>0.05</v>
      </c>
      <c r="D10" s="32">
        <v>0.15</v>
      </c>
      <c r="E10" s="35">
        <v>0.1</v>
      </c>
      <c r="G10" s="32" t="s">
        <v>12</v>
      </c>
      <c r="H10" s="51">
        <v>10</v>
      </c>
    </row>
    <row r="11" spans="2:10" ht="17" thickBot="1">
      <c r="B11" s="29">
        <v>3</v>
      </c>
      <c r="C11" s="32">
        <v>0.15</v>
      </c>
      <c r="D11" s="32">
        <v>0.2</v>
      </c>
      <c r="E11" s="35">
        <v>0.15</v>
      </c>
      <c r="G11" s="32" t="s">
        <v>14</v>
      </c>
      <c r="H11" s="51">
        <v>15</v>
      </c>
    </row>
    <row r="12" spans="2:10" ht="17" thickBot="1">
      <c r="B12" s="29">
        <v>5</v>
      </c>
      <c r="C12" s="32">
        <v>0.25</v>
      </c>
      <c r="D12" s="32">
        <v>0.25</v>
      </c>
      <c r="E12" s="35">
        <v>0.25</v>
      </c>
    </row>
    <row r="13" spans="2:10" ht="17" thickBot="1">
      <c r="B13" s="29">
        <v>10</v>
      </c>
      <c r="C13" s="32">
        <v>0.3</v>
      </c>
      <c r="D13" s="32">
        <v>0.3</v>
      </c>
      <c r="E13" s="35">
        <v>0.3</v>
      </c>
    </row>
    <row r="18" spans="4:5">
      <c r="D18" s="76"/>
    </row>
    <row r="20" spans="4:5">
      <c r="E20" s="76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2">
    <tabColor rgb="FFFFFF00"/>
  </sheetPr>
  <dimension ref="C1:CB46"/>
  <sheetViews>
    <sheetView showGridLines="0" showRowColHeaders="0" zoomScale="115" zoomScaleNormal="115" workbookViewId="0">
      <selection activeCell="DH15" sqref="DH15"/>
    </sheetView>
  </sheetViews>
  <sheetFormatPr defaultColWidth="2" defaultRowHeight="9.75" customHeight="1"/>
  <cols>
    <col min="1" max="16384" width="2" style="6"/>
  </cols>
  <sheetData>
    <row r="1" spans="3:80" ht="9.75" customHeight="1" thickBot="1"/>
    <row r="2" spans="3:80" ht="9.75" customHeight="1">
      <c r="W2" s="100" t="s">
        <v>77</v>
      </c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2"/>
      <c r="AQ2" s="100" t="s">
        <v>78</v>
      </c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  <c r="BC2" s="101"/>
      <c r="BD2" s="101"/>
      <c r="BE2" s="101"/>
      <c r="BF2" s="101"/>
      <c r="BG2" s="101"/>
      <c r="BH2" s="102"/>
      <c r="BK2" s="100" t="s">
        <v>79</v>
      </c>
      <c r="BL2" s="101"/>
      <c r="BM2" s="101"/>
      <c r="BN2" s="101"/>
      <c r="BO2" s="101"/>
      <c r="BP2" s="101"/>
      <c r="BQ2" s="101"/>
      <c r="BR2" s="101"/>
      <c r="BS2" s="101"/>
      <c r="BT2" s="101"/>
      <c r="BU2" s="101"/>
      <c r="BV2" s="101"/>
      <c r="BW2" s="101"/>
      <c r="BX2" s="101"/>
      <c r="BY2" s="101"/>
      <c r="BZ2" s="101"/>
      <c r="CA2" s="101"/>
      <c r="CB2" s="102"/>
    </row>
    <row r="3" spans="3:80" ht="9.75" customHeight="1" thickBot="1">
      <c r="W3" s="103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5"/>
      <c r="AQ3" s="103"/>
      <c r="AR3" s="104"/>
      <c r="AS3" s="104"/>
      <c r="AT3" s="104"/>
      <c r="AU3" s="104"/>
      <c r="AV3" s="104"/>
      <c r="AW3" s="104"/>
      <c r="AX3" s="104"/>
      <c r="AY3" s="104"/>
      <c r="AZ3" s="104"/>
      <c r="BA3" s="104"/>
      <c r="BB3" s="104"/>
      <c r="BC3" s="104"/>
      <c r="BD3" s="104"/>
      <c r="BE3" s="104"/>
      <c r="BF3" s="104"/>
      <c r="BG3" s="104"/>
      <c r="BH3" s="105"/>
      <c r="BK3" s="103"/>
      <c r="BL3" s="104"/>
      <c r="BM3" s="104"/>
      <c r="BN3" s="104"/>
      <c r="BO3" s="104"/>
      <c r="BP3" s="104"/>
      <c r="BQ3" s="104"/>
      <c r="BR3" s="104"/>
      <c r="BS3" s="104"/>
      <c r="BT3" s="104"/>
      <c r="BU3" s="104"/>
      <c r="BV3" s="104"/>
      <c r="BW3" s="104"/>
      <c r="BX3" s="104"/>
      <c r="BY3" s="104"/>
      <c r="BZ3" s="104"/>
      <c r="CA3" s="104"/>
      <c r="CB3" s="105"/>
    </row>
    <row r="4" spans="3:80" ht="9.75" customHeight="1">
      <c r="W4" s="106">
        <f>GETPIVOTDATA("Produtos",DN_Produtos!$E$3)</f>
        <v>60</v>
      </c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8"/>
      <c r="AQ4" s="106">
        <f>GETPIVOTDATA("[Measures].[Soma de Qtd]",DN_Vendas!$A$3)</f>
        <v>250</v>
      </c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8"/>
      <c r="BK4" s="115">
        <f>GETPIVOTDATA("[Measures].[Soma de Total]",DN_Vendas!$A$3)</f>
        <v>33304.799999999988</v>
      </c>
      <c r="BL4" s="116"/>
      <c r="BM4" s="116"/>
      <c r="BN4" s="116"/>
      <c r="BO4" s="116"/>
      <c r="BP4" s="116"/>
      <c r="BQ4" s="116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7"/>
    </row>
    <row r="5" spans="3:80" ht="9.75" customHeight="1">
      <c r="W5" s="109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1"/>
      <c r="AQ5" s="109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1"/>
      <c r="BK5" s="118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120"/>
    </row>
    <row r="6" spans="3:80" ht="9.75" customHeight="1">
      <c r="W6" s="109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1"/>
      <c r="AQ6" s="109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1"/>
      <c r="BK6" s="118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119"/>
      <c r="BW6" s="119"/>
      <c r="BX6" s="119"/>
      <c r="BY6" s="119"/>
      <c r="BZ6" s="119"/>
      <c r="CA6" s="119"/>
      <c r="CB6" s="120"/>
    </row>
    <row r="7" spans="3:80" ht="9.75" customHeight="1" thickBot="1">
      <c r="W7" s="112"/>
      <c r="X7" s="113"/>
      <c r="Y7" s="113"/>
      <c r="Z7" s="113"/>
      <c r="AA7" s="113"/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4"/>
      <c r="AQ7" s="112"/>
      <c r="AR7" s="113"/>
      <c r="AS7" s="113"/>
      <c r="AT7" s="113"/>
      <c r="AU7" s="113"/>
      <c r="AV7" s="113"/>
      <c r="AW7" s="113"/>
      <c r="AX7" s="113"/>
      <c r="AY7" s="113"/>
      <c r="AZ7" s="113"/>
      <c r="BA7" s="113"/>
      <c r="BB7" s="113"/>
      <c r="BC7" s="113"/>
      <c r="BD7" s="113"/>
      <c r="BE7" s="113"/>
      <c r="BF7" s="113"/>
      <c r="BG7" s="113"/>
      <c r="BH7" s="114"/>
      <c r="BK7" s="121"/>
      <c r="BL7" s="122"/>
      <c r="BM7" s="122"/>
      <c r="BN7" s="122"/>
      <c r="BO7" s="122"/>
      <c r="BP7" s="122"/>
      <c r="BQ7" s="122"/>
      <c r="BR7" s="122"/>
      <c r="BS7" s="122"/>
      <c r="BT7" s="122"/>
      <c r="BU7" s="122"/>
      <c r="BV7" s="122"/>
      <c r="BW7" s="122"/>
      <c r="BX7" s="122"/>
      <c r="BY7" s="122"/>
      <c r="BZ7" s="122"/>
      <c r="CA7" s="122"/>
      <c r="CB7" s="123"/>
    </row>
    <row r="8" spans="3:80" ht="9.75" customHeight="1" thickBot="1"/>
    <row r="9" spans="3:80" ht="9.75" customHeight="1">
      <c r="C9" s="100" t="s">
        <v>80</v>
      </c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  <c r="BW9" s="101"/>
      <c r="BX9" s="101"/>
      <c r="BY9" s="101"/>
      <c r="BZ9" s="101"/>
      <c r="CA9" s="101"/>
      <c r="CB9" s="102"/>
    </row>
    <row r="10" spans="3:80" ht="9.75" customHeight="1" thickBot="1">
      <c r="C10" s="103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  <c r="BF10" s="104"/>
      <c r="BG10" s="104"/>
      <c r="BH10" s="104"/>
      <c r="BI10" s="104"/>
      <c r="BJ10" s="104"/>
      <c r="BK10" s="104"/>
      <c r="BL10" s="104"/>
      <c r="BM10" s="104"/>
      <c r="BN10" s="104"/>
      <c r="BO10" s="104"/>
      <c r="BP10" s="104"/>
      <c r="BQ10" s="104"/>
      <c r="BR10" s="104"/>
      <c r="BS10" s="104"/>
      <c r="BT10" s="104"/>
      <c r="BU10" s="104"/>
      <c r="BV10" s="104"/>
      <c r="BW10" s="104"/>
      <c r="BX10" s="104"/>
      <c r="BY10" s="104"/>
      <c r="BZ10" s="104"/>
      <c r="CA10" s="104"/>
      <c r="CB10" s="105"/>
    </row>
    <row r="11" spans="3:80" ht="9.75" customHeight="1">
      <c r="C11" s="124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5"/>
      <c r="BN11" s="125"/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6"/>
    </row>
    <row r="12" spans="3:80" ht="9.75" customHeight="1">
      <c r="C12" s="127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28"/>
      <c r="T12" s="128"/>
      <c r="U12" s="128"/>
      <c r="V12" s="128"/>
      <c r="W12" s="128"/>
      <c r="X12" s="128"/>
      <c r="Y12" s="128"/>
      <c r="Z12" s="128"/>
      <c r="AA12" s="128"/>
      <c r="AB12" s="128"/>
      <c r="AC12" s="128"/>
      <c r="AD12" s="128"/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/>
      <c r="AX12" s="128"/>
      <c r="AY12" s="128"/>
      <c r="AZ12" s="128"/>
      <c r="BA12" s="128"/>
      <c r="BB12" s="128"/>
      <c r="BC12" s="128"/>
      <c r="BD12" s="128"/>
      <c r="BE12" s="128"/>
      <c r="BF12" s="128"/>
      <c r="BG12" s="128"/>
      <c r="BH12" s="128"/>
      <c r="BI12" s="128"/>
      <c r="BJ12" s="128"/>
      <c r="BK12" s="128"/>
      <c r="BL12" s="128"/>
      <c r="BM12" s="128"/>
      <c r="BN12" s="128"/>
      <c r="BO12" s="128"/>
      <c r="BP12" s="128"/>
      <c r="BQ12" s="128"/>
      <c r="BR12" s="128"/>
      <c r="BS12" s="128"/>
      <c r="BT12" s="128"/>
      <c r="BU12" s="128"/>
      <c r="BV12" s="128"/>
      <c r="BW12" s="128"/>
      <c r="BX12" s="128"/>
      <c r="BY12" s="128"/>
      <c r="BZ12" s="128"/>
      <c r="CA12" s="128"/>
      <c r="CB12" s="129"/>
    </row>
    <row r="13" spans="3:80" ht="9.75" customHeight="1">
      <c r="C13" s="127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8"/>
      <c r="BE13" s="128"/>
      <c r="BF13" s="128"/>
      <c r="BG13" s="128"/>
      <c r="BH13" s="128"/>
      <c r="BI13" s="128"/>
      <c r="BJ13" s="128"/>
      <c r="BK13" s="128"/>
      <c r="BL13" s="128"/>
      <c r="BM13" s="128"/>
      <c r="BN13" s="128"/>
      <c r="BO13" s="128"/>
      <c r="BP13" s="128"/>
      <c r="BQ13" s="128"/>
      <c r="BR13" s="128"/>
      <c r="BS13" s="128"/>
      <c r="BT13" s="128"/>
      <c r="BU13" s="128"/>
      <c r="BV13" s="128"/>
      <c r="BW13" s="128"/>
      <c r="BX13" s="128"/>
      <c r="BY13" s="128"/>
      <c r="BZ13" s="128"/>
      <c r="CA13" s="128"/>
      <c r="CB13" s="129"/>
    </row>
    <row r="14" spans="3:80" ht="9.75" customHeight="1">
      <c r="C14" s="127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  <c r="AM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/>
      <c r="AX14" s="128"/>
      <c r="AY14" s="128"/>
      <c r="AZ14" s="128"/>
      <c r="BA14" s="128"/>
      <c r="BB14" s="128"/>
      <c r="BC14" s="128"/>
      <c r="BD14" s="128"/>
      <c r="BE14" s="128"/>
      <c r="BF14" s="128"/>
      <c r="BG14" s="128"/>
      <c r="BH14" s="128"/>
      <c r="BI14" s="128"/>
      <c r="BJ14" s="128"/>
      <c r="BK14" s="128"/>
      <c r="BL14" s="128"/>
      <c r="BM14" s="128"/>
      <c r="BN14" s="128"/>
      <c r="BO14" s="128"/>
      <c r="BP14" s="128"/>
      <c r="BQ14" s="128"/>
      <c r="BR14" s="128"/>
      <c r="BS14" s="128"/>
      <c r="BT14" s="128"/>
      <c r="BU14" s="128"/>
      <c r="BV14" s="128"/>
      <c r="BW14" s="128"/>
      <c r="BX14" s="128"/>
      <c r="BY14" s="128"/>
      <c r="BZ14" s="128"/>
      <c r="CA14" s="128"/>
      <c r="CB14" s="129"/>
    </row>
    <row r="15" spans="3:80" ht="9.75" customHeight="1">
      <c r="C15" s="127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8"/>
      <c r="R15" s="128"/>
      <c r="S15" s="128"/>
      <c r="T15" s="128"/>
      <c r="U15" s="128"/>
      <c r="V15" s="128"/>
      <c r="W15" s="128"/>
      <c r="X15" s="128"/>
      <c r="Y15" s="128"/>
      <c r="Z15" s="128"/>
      <c r="AA15" s="128"/>
      <c r="AB15" s="128"/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  <c r="AM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/>
      <c r="AX15" s="128"/>
      <c r="AY15" s="128"/>
      <c r="AZ15" s="128"/>
      <c r="BA15" s="128"/>
      <c r="BB15" s="128"/>
      <c r="BC15" s="128"/>
      <c r="BD15" s="128"/>
      <c r="BE15" s="128"/>
      <c r="BF15" s="128"/>
      <c r="BG15" s="128"/>
      <c r="BH15" s="128"/>
      <c r="BI15" s="128"/>
      <c r="BJ15" s="128"/>
      <c r="BK15" s="128"/>
      <c r="BL15" s="128"/>
      <c r="BM15" s="128"/>
      <c r="BN15" s="128"/>
      <c r="BO15" s="128"/>
      <c r="BP15" s="128"/>
      <c r="BQ15" s="128"/>
      <c r="BR15" s="128"/>
      <c r="BS15" s="128"/>
      <c r="BT15" s="128"/>
      <c r="BU15" s="128"/>
      <c r="BV15" s="128"/>
      <c r="BW15" s="128"/>
      <c r="BX15" s="128"/>
      <c r="BY15" s="128"/>
      <c r="BZ15" s="128"/>
      <c r="CA15" s="128"/>
      <c r="CB15" s="129"/>
    </row>
    <row r="16" spans="3:80" ht="9.75" customHeight="1">
      <c r="C16" s="127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9"/>
    </row>
    <row r="17" spans="3:80" ht="9.75" customHeight="1">
      <c r="C17" s="127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  <c r="BO17" s="128"/>
      <c r="BP17" s="128"/>
      <c r="BQ17" s="128"/>
      <c r="BR17" s="128"/>
      <c r="BS17" s="128"/>
      <c r="BT17" s="128"/>
      <c r="BU17" s="128"/>
      <c r="BV17" s="128"/>
      <c r="BW17" s="128"/>
      <c r="BX17" s="128"/>
      <c r="BY17" s="128"/>
      <c r="BZ17" s="128"/>
      <c r="CA17" s="128"/>
      <c r="CB17" s="129"/>
    </row>
    <row r="18" spans="3:80" ht="9.75" customHeight="1">
      <c r="C18" s="127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  <c r="BO18" s="128"/>
      <c r="BP18" s="128"/>
      <c r="BQ18" s="128"/>
      <c r="BR18" s="128"/>
      <c r="BS18" s="128"/>
      <c r="BT18" s="128"/>
      <c r="BU18" s="128"/>
      <c r="BV18" s="128"/>
      <c r="BW18" s="128"/>
      <c r="BX18" s="128"/>
      <c r="BY18" s="128"/>
      <c r="BZ18" s="128"/>
      <c r="CA18" s="128"/>
      <c r="CB18" s="129"/>
    </row>
    <row r="19" spans="3:80" ht="9.75" customHeight="1">
      <c r="C19" s="127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  <c r="AM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  <c r="BO19" s="128"/>
      <c r="BP19" s="128"/>
      <c r="BQ19" s="128"/>
      <c r="BR19" s="128"/>
      <c r="BS19" s="128"/>
      <c r="BT19" s="128"/>
      <c r="BU19" s="128"/>
      <c r="BV19" s="128"/>
      <c r="BW19" s="128"/>
      <c r="BX19" s="128"/>
      <c r="BY19" s="128"/>
      <c r="BZ19" s="128"/>
      <c r="CA19" s="128"/>
      <c r="CB19" s="129"/>
    </row>
    <row r="20" spans="3:80" ht="9.75" customHeight="1">
      <c r="C20" s="127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  <c r="AA20" s="128"/>
      <c r="AB20" s="128"/>
      <c r="AC20" s="128"/>
      <c r="AD20" s="128"/>
      <c r="AE20" s="128"/>
      <c r="AF20" s="128"/>
      <c r="AG20" s="128"/>
      <c r="AH20" s="128"/>
      <c r="AI20" s="128"/>
      <c r="AJ20" s="128"/>
      <c r="AK20" s="128"/>
      <c r="AL20" s="128"/>
      <c r="AM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  <c r="BO20" s="128"/>
      <c r="BP20" s="128"/>
      <c r="BQ20" s="128"/>
      <c r="BR20" s="128"/>
      <c r="BS20" s="128"/>
      <c r="BT20" s="128"/>
      <c r="BU20" s="128"/>
      <c r="BV20" s="128"/>
      <c r="BW20" s="128"/>
      <c r="BX20" s="128"/>
      <c r="BY20" s="128"/>
      <c r="BZ20" s="128"/>
      <c r="CA20" s="128"/>
      <c r="CB20" s="129"/>
    </row>
    <row r="21" spans="3:80" ht="9.75" customHeight="1">
      <c r="C21" s="127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28"/>
      <c r="BP21" s="128"/>
      <c r="BQ21" s="128"/>
      <c r="BR21" s="128"/>
      <c r="BS21" s="128"/>
      <c r="BT21" s="128"/>
      <c r="BU21" s="128"/>
      <c r="BV21" s="128"/>
      <c r="BW21" s="128"/>
      <c r="BX21" s="128"/>
      <c r="BY21" s="128"/>
      <c r="BZ21" s="128"/>
      <c r="CA21" s="128"/>
      <c r="CB21" s="129"/>
    </row>
    <row r="22" spans="3:80" ht="9.75" customHeight="1">
      <c r="C22" s="127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128"/>
      <c r="BP22" s="128"/>
      <c r="BQ22" s="128"/>
      <c r="BR22" s="128"/>
      <c r="BS22" s="128"/>
      <c r="BT22" s="128"/>
      <c r="BU22" s="128"/>
      <c r="BV22" s="128"/>
      <c r="BW22" s="128"/>
      <c r="BX22" s="128"/>
      <c r="BY22" s="128"/>
      <c r="BZ22" s="128"/>
      <c r="CA22" s="128"/>
      <c r="CB22" s="129"/>
    </row>
    <row r="23" spans="3:80" ht="9.75" customHeight="1">
      <c r="C23" s="127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  <c r="BO23" s="128"/>
      <c r="BP23" s="128"/>
      <c r="BQ23" s="128"/>
      <c r="BR23" s="128"/>
      <c r="BS23" s="128"/>
      <c r="BT23" s="128"/>
      <c r="BU23" s="128"/>
      <c r="BV23" s="128"/>
      <c r="BW23" s="128"/>
      <c r="BX23" s="128"/>
      <c r="BY23" s="128"/>
      <c r="BZ23" s="128"/>
      <c r="CA23" s="128"/>
      <c r="CB23" s="129"/>
    </row>
    <row r="24" spans="3:80" ht="9.75" customHeight="1" thickBot="1">
      <c r="C24" s="130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1"/>
      <c r="AK24" s="131"/>
      <c r="AL24" s="131"/>
      <c r="AM24" s="131"/>
      <c r="AN24" s="131"/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/>
      <c r="BO24" s="131"/>
      <c r="BP24" s="131"/>
      <c r="BQ24" s="131"/>
      <c r="BR24" s="131"/>
      <c r="BS24" s="131"/>
      <c r="BT24" s="131"/>
      <c r="BU24" s="131"/>
      <c r="BV24" s="131"/>
      <c r="BW24" s="131"/>
      <c r="BX24" s="131"/>
      <c r="BY24" s="131"/>
      <c r="BZ24" s="131"/>
      <c r="CA24" s="131"/>
      <c r="CB24" s="132"/>
    </row>
    <row r="25" spans="3:80" ht="9.75" customHeight="1" thickBot="1"/>
    <row r="26" spans="3:80" ht="9.75" customHeight="1">
      <c r="C26" s="100" t="s">
        <v>81</v>
      </c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  <c r="AN26" s="102"/>
      <c r="AO26" s="7"/>
      <c r="AP26" s="7"/>
      <c r="AQ26" s="100" t="s">
        <v>82</v>
      </c>
      <c r="AR26" s="101"/>
      <c r="AS26" s="101"/>
      <c r="AT26" s="101"/>
      <c r="AU26" s="101"/>
      <c r="AV26" s="101"/>
      <c r="AW26" s="101"/>
      <c r="AX26" s="101"/>
      <c r="AY26" s="101"/>
      <c r="AZ26" s="101"/>
      <c r="BA26" s="101"/>
      <c r="BB26" s="101"/>
      <c r="BC26" s="101"/>
      <c r="BD26" s="101"/>
      <c r="BE26" s="101"/>
      <c r="BF26" s="101"/>
      <c r="BG26" s="101"/>
      <c r="BH26" s="101"/>
      <c r="BI26" s="101"/>
      <c r="BJ26" s="101"/>
      <c r="BK26" s="101"/>
      <c r="BL26" s="101"/>
      <c r="BM26" s="101"/>
      <c r="BN26" s="101"/>
      <c r="BO26" s="101"/>
      <c r="BP26" s="101"/>
      <c r="BQ26" s="101"/>
      <c r="BR26" s="101"/>
      <c r="BS26" s="101"/>
      <c r="BT26" s="101"/>
      <c r="BU26" s="101"/>
      <c r="BV26" s="101"/>
      <c r="BW26" s="101"/>
      <c r="BX26" s="101"/>
      <c r="BY26" s="101"/>
      <c r="BZ26" s="101"/>
      <c r="CA26" s="101"/>
      <c r="CB26" s="102"/>
    </row>
    <row r="27" spans="3:80" ht="9.75" customHeight="1" thickBot="1">
      <c r="C27" s="103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5"/>
      <c r="AO27" s="7"/>
      <c r="AP27" s="7"/>
      <c r="AQ27" s="103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5"/>
    </row>
    <row r="28" spans="3:80" ht="9.75" customHeight="1">
      <c r="C28" s="124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6"/>
      <c r="AQ28" s="124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6"/>
    </row>
    <row r="29" spans="3:80" ht="9.75" customHeight="1">
      <c r="C29" s="127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29"/>
      <c r="AQ29" s="127"/>
      <c r="AR29" s="128"/>
      <c r="AS29" s="128"/>
      <c r="AT29" s="128"/>
      <c r="AU29" s="128"/>
      <c r="AV29" s="128"/>
      <c r="AW29" s="128"/>
      <c r="AX29" s="128"/>
      <c r="AY29" s="128"/>
      <c r="AZ29" s="128"/>
      <c r="BA29" s="128"/>
      <c r="BB29" s="128"/>
      <c r="BC29" s="128"/>
      <c r="BD29" s="128"/>
      <c r="BE29" s="128"/>
      <c r="BF29" s="128"/>
      <c r="BG29" s="128"/>
      <c r="BH29" s="128"/>
      <c r="BI29" s="128"/>
      <c r="BJ29" s="128"/>
      <c r="BK29" s="128"/>
      <c r="BL29" s="128"/>
      <c r="BM29" s="128"/>
      <c r="BN29" s="128"/>
      <c r="BO29" s="128"/>
      <c r="BP29" s="128"/>
      <c r="BQ29" s="128"/>
      <c r="BR29" s="128"/>
      <c r="BS29" s="128"/>
      <c r="BT29" s="128"/>
      <c r="BU29" s="128"/>
      <c r="BV29" s="128"/>
      <c r="BW29" s="128"/>
      <c r="BX29" s="128"/>
      <c r="BY29" s="128"/>
      <c r="BZ29" s="128"/>
      <c r="CA29" s="128"/>
      <c r="CB29" s="129"/>
    </row>
    <row r="30" spans="3:80" ht="9.75" customHeight="1">
      <c r="C30" s="127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9"/>
      <c r="AQ30" s="127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  <c r="BO30" s="128"/>
      <c r="BP30" s="128"/>
      <c r="BQ30" s="128"/>
      <c r="BR30" s="128"/>
      <c r="BS30" s="128"/>
      <c r="BT30" s="128"/>
      <c r="BU30" s="128"/>
      <c r="BV30" s="128"/>
      <c r="BW30" s="128"/>
      <c r="BX30" s="128"/>
      <c r="BY30" s="128"/>
      <c r="BZ30" s="128"/>
      <c r="CA30" s="128"/>
      <c r="CB30" s="129"/>
    </row>
    <row r="31" spans="3:80" ht="9.75" customHeight="1">
      <c r="C31" s="127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29"/>
      <c r="AQ31" s="127"/>
      <c r="AR31" s="128"/>
      <c r="AS31" s="128"/>
      <c r="AT31" s="128"/>
      <c r="AU31" s="128"/>
      <c r="AV31" s="128"/>
      <c r="AW31" s="128"/>
      <c r="AX31" s="128"/>
      <c r="AY31" s="128"/>
      <c r="AZ31" s="128"/>
      <c r="BA31" s="128"/>
      <c r="BB31" s="128"/>
      <c r="BC31" s="128"/>
      <c r="BD31" s="128"/>
      <c r="BE31" s="128"/>
      <c r="BF31" s="128"/>
      <c r="BG31" s="128"/>
      <c r="BH31" s="128"/>
      <c r="BI31" s="128"/>
      <c r="BJ31" s="128"/>
      <c r="BK31" s="128"/>
      <c r="BL31" s="128"/>
      <c r="BM31" s="128"/>
      <c r="BN31" s="128"/>
      <c r="BO31" s="128"/>
      <c r="BP31" s="128"/>
      <c r="BQ31" s="128"/>
      <c r="BR31" s="128"/>
      <c r="BS31" s="128"/>
      <c r="BT31" s="128"/>
      <c r="BU31" s="128"/>
      <c r="BV31" s="128"/>
      <c r="BW31" s="128"/>
      <c r="BX31" s="128"/>
      <c r="BY31" s="128"/>
      <c r="BZ31" s="128"/>
      <c r="CA31" s="128"/>
      <c r="CB31" s="129"/>
    </row>
    <row r="32" spans="3:80" ht="9.75" customHeight="1">
      <c r="C32" s="127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/>
      <c r="AN32" s="129"/>
      <c r="AQ32" s="127"/>
      <c r="AR32" s="128"/>
      <c r="AS32" s="128"/>
      <c r="AT32" s="128"/>
      <c r="AU32" s="128"/>
      <c r="AV32" s="128"/>
      <c r="AW32" s="128"/>
      <c r="AX32" s="128"/>
      <c r="AY32" s="128"/>
      <c r="AZ32" s="128"/>
      <c r="BA32" s="128"/>
      <c r="BB32" s="128"/>
      <c r="BC32" s="128"/>
      <c r="BD32" s="128"/>
      <c r="BE32" s="128"/>
      <c r="BF32" s="128"/>
      <c r="BG32" s="128"/>
      <c r="BH32" s="128"/>
      <c r="BI32" s="128"/>
      <c r="BJ32" s="128"/>
      <c r="BK32" s="128"/>
      <c r="BL32" s="128"/>
      <c r="BM32" s="128"/>
      <c r="BN32" s="128"/>
      <c r="BO32" s="128"/>
      <c r="BP32" s="128"/>
      <c r="BQ32" s="128"/>
      <c r="BR32" s="128"/>
      <c r="BS32" s="128"/>
      <c r="BT32" s="128"/>
      <c r="BU32" s="128"/>
      <c r="BV32" s="128"/>
      <c r="BW32" s="128"/>
      <c r="BX32" s="128"/>
      <c r="BY32" s="128"/>
      <c r="BZ32" s="128"/>
      <c r="CA32" s="128"/>
      <c r="CB32" s="129"/>
    </row>
    <row r="33" spans="3:80" ht="9.75" customHeight="1">
      <c r="C33" s="127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9"/>
      <c r="AQ33" s="127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28"/>
      <c r="BP33" s="128"/>
      <c r="BQ33" s="128"/>
      <c r="BR33" s="128"/>
      <c r="BS33" s="128"/>
      <c r="BT33" s="128"/>
      <c r="BU33" s="128"/>
      <c r="BV33" s="128"/>
      <c r="BW33" s="128"/>
      <c r="BX33" s="128"/>
      <c r="BY33" s="128"/>
      <c r="BZ33" s="128"/>
      <c r="CA33" s="128"/>
      <c r="CB33" s="129"/>
    </row>
    <row r="34" spans="3:80" ht="9.75" customHeight="1">
      <c r="C34" s="127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9"/>
      <c r="AQ34" s="127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  <c r="BO34" s="128"/>
      <c r="BP34" s="128"/>
      <c r="BQ34" s="128"/>
      <c r="BR34" s="128"/>
      <c r="BS34" s="128"/>
      <c r="BT34" s="128"/>
      <c r="BU34" s="128"/>
      <c r="BV34" s="128"/>
      <c r="BW34" s="128"/>
      <c r="BX34" s="128"/>
      <c r="BY34" s="128"/>
      <c r="BZ34" s="128"/>
      <c r="CA34" s="128"/>
      <c r="CB34" s="129"/>
    </row>
    <row r="35" spans="3:80" ht="9.75" customHeight="1">
      <c r="C35" s="127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9"/>
      <c r="AQ35" s="127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  <c r="BO35" s="128"/>
      <c r="BP35" s="128"/>
      <c r="BQ35" s="128"/>
      <c r="BR35" s="128"/>
      <c r="BS35" s="128"/>
      <c r="BT35" s="128"/>
      <c r="BU35" s="128"/>
      <c r="BV35" s="128"/>
      <c r="BW35" s="128"/>
      <c r="BX35" s="128"/>
      <c r="BY35" s="128"/>
      <c r="BZ35" s="128"/>
      <c r="CA35" s="128"/>
      <c r="CB35" s="129"/>
    </row>
    <row r="36" spans="3:80" ht="9.75" customHeight="1">
      <c r="C36" s="127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9"/>
      <c r="AQ36" s="127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28"/>
      <c r="BO36" s="128"/>
      <c r="BP36" s="128"/>
      <c r="BQ36" s="128"/>
      <c r="BR36" s="128"/>
      <c r="BS36" s="128"/>
      <c r="BT36" s="128"/>
      <c r="BU36" s="128"/>
      <c r="BV36" s="128"/>
      <c r="BW36" s="128"/>
      <c r="BX36" s="128"/>
      <c r="BY36" s="128"/>
      <c r="BZ36" s="128"/>
      <c r="CA36" s="128"/>
      <c r="CB36" s="129"/>
    </row>
    <row r="37" spans="3:80" ht="9.75" customHeight="1">
      <c r="C37" s="127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9"/>
      <c r="AQ37" s="127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  <c r="BO37" s="128"/>
      <c r="BP37" s="128"/>
      <c r="BQ37" s="128"/>
      <c r="BR37" s="128"/>
      <c r="BS37" s="128"/>
      <c r="BT37" s="128"/>
      <c r="BU37" s="128"/>
      <c r="BV37" s="128"/>
      <c r="BW37" s="128"/>
      <c r="BX37" s="128"/>
      <c r="BY37" s="128"/>
      <c r="BZ37" s="128"/>
      <c r="CA37" s="128"/>
      <c r="CB37" s="129"/>
    </row>
    <row r="38" spans="3:80" ht="9.75" customHeight="1">
      <c r="C38" s="127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9"/>
      <c r="AQ38" s="127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  <c r="BO38" s="128"/>
      <c r="BP38" s="128"/>
      <c r="BQ38" s="128"/>
      <c r="BR38" s="128"/>
      <c r="BS38" s="128"/>
      <c r="BT38" s="128"/>
      <c r="BU38" s="128"/>
      <c r="BV38" s="128"/>
      <c r="BW38" s="128"/>
      <c r="BX38" s="128"/>
      <c r="BY38" s="128"/>
      <c r="BZ38" s="128"/>
      <c r="CA38" s="128"/>
      <c r="CB38" s="129"/>
    </row>
    <row r="39" spans="3:80" ht="9.75" customHeight="1"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9"/>
      <c r="AQ39" s="127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  <c r="BO39" s="128"/>
      <c r="BP39" s="128"/>
      <c r="BQ39" s="128"/>
      <c r="BR39" s="128"/>
      <c r="BS39" s="128"/>
      <c r="BT39" s="128"/>
      <c r="BU39" s="128"/>
      <c r="BV39" s="128"/>
      <c r="BW39" s="128"/>
      <c r="BX39" s="128"/>
      <c r="BY39" s="128"/>
      <c r="BZ39" s="128"/>
      <c r="CA39" s="128"/>
      <c r="CB39" s="129"/>
    </row>
    <row r="40" spans="3:80" ht="9.75" customHeight="1">
      <c r="C40" s="127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  <c r="AJ40" s="128"/>
      <c r="AK40" s="128"/>
      <c r="AL40" s="128"/>
      <c r="AM40" s="128"/>
      <c r="AN40" s="129"/>
      <c r="AQ40" s="127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  <c r="BO40" s="128"/>
      <c r="BP40" s="128"/>
      <c r="BQ40" s="128"/>
      <c r="BR40" s="128"/>
      <c r="BS40" s="128"/>
      <c r="BT40" s="128"/>
      <c r="BU40" s="128"/>
      <c r="BV40" s="128"/>
      <c r="BW40" s="128"/>
      <c r="BX40" s="128"/>
      <c r="BY40" s="128"/>
      <c r="BZ40" s="128"/>
      <c r="CA40" s="128"/>
      <c r="CB40" s="129"/>
    </row>
    <row r="41" spans="3:80" ht="9.75" customHeight="1">
      <c r="C41" s="127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9"/>
      <c r="AQ41" s="127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  <c r="BO41" s="128"/>
      <c r="BP41" s="128"/>
      <c r="BQ41" s="128"/>
      <c r="BR41" s="128"/>
      <c r="BS41" s="128"/>
      <c r="BT41" s="128"/>
      <c r="BU41" s="128"/>
      <c r="BV41" s="128"/>
      <c r="BW41" s="128"/>
      <c r="BX41" s="128"/>
      <c r="BY41" s="128"/>
      <c r="BZ41" s="128"/>
      <c r="CA41" s="128"/>
      <c r="CB41" s="129"/>
    </row>
    <row r="42" spans="3:80" ht="9.75" customHeight="1">
      <c r="C42" s="127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29"/>
      <c r="AQ42" s="127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  <c r="BO42" s="128"/>
      <c r="BP42" s="128"/>
      <c r="BQ42" s="128"/>
      <c r="BR42" s="128"/>
      <c r="BS42" s="128"/>
      <c r="BT42" s="128"/>
      <c r="BU42" s="128"/>
      <c r="BV42" s="128"/>
      <c r="BW42" s="128"/>
      <c r="BX42" s="128"/>
      <c r="BY42" s="128"/>
      <c r="BZ42" s="128"/>
      <c r="CA42" s="128"/>
      <c r="CB42" s="129"/>
    </row>
    <row r="43" spans="3:80" ht="9.75" customHeight="1">
      <c r="C43" s="127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9"/>
      <c r="AQ43" s="127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  <c r="BO43" s="128"/>
      <c r="BP43" s="128"/>
      <c r="BQ43" s="128"/>
      <c r="BR43" s="128"/>
      <c r="BS43" s="128"/>
      <c r="BT43" s="128"/>
      <c r="BU43" s="128"/>
      <c r="BV43" s="128"/>
      <c r="BW43" s="128"/>
      <c r="BX43" s="128"/>
      <c r="BY43" s="128"/>
      <c r="BZ43" s="128"/>
      <c r="CA43" s="128"/>
      <c r="CB43" s="129"/>
    </row>
    <row r="44" spans="3:80" ht="9.75" customHeight="1">
      <c r="C44" s="127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  <c r="AJ44" s="128"/>
      <c r="AK44" s="128"/>
      <c r="AL44" s="128"/>
      <c r="AM44" s="128"/>
      <c r="AN44" s="129"/>
      <c r="AQ44" s="127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  <c r="BO44" s="128"/>
      <c r="BP44" s="128"/>
      <c r="BQ44" s="128"/>
      <c r="BR44" s="128"/>
      <c r="BS44" s="128"/>
      <c r="BT44" s="128"/>
      <c r="BU44" s="128"/>
      <c r="BV44" s="128"/>
      <c r="BW44" s="128"/>
      <c r="BX44" s="128"/>
      <c r="BY44" s="128"/>
      <c r="BZ44" s="128"/>
      <c r="CA44" s="128"/>
      <c r="CB44" s="129"/>
    </row>
    <row r="45" spans="3:80" ht="9.75" customHeight="1">
      <c r="C45" s="127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8"/>
      <c r="AB45" s="128"/>
      <c r="AC45" s="128"/>
      <c r="AD45" s="128"/>
      <c r="AE45" s="128"/>
      <c r="AF45" s="128"/>
      <c r="AG45" s="128"/>
      <c r="AH45" s="128"/>
      <c r="AI45" s="128"/>
      <c r="AJ45" s="128"/>
      <c r="AK45" s="128"/>
      <c r="AL45" s="128"/>
      <c r="AM45" s="128"/>
      <c r="AN45" s="129"/>
      <c r="AQ45" s="127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  <c r="BO45" s="128"/>
      <c r="BP45" s="128"/>
      <c r="BQ45" s="128"/>
      <c r="BR45" s="128"/>
      <c r="BS45" s="128"/>
      <c r="BT45" s="128"/>
      <c r="BU45" s="128"/>
      <c r="BV45" s="128"/>
      <c r="BW45" s="128"/>
      <c r="BX45" s="128"/>
      <c r="BY45" s="128"/>
      <c r="BZ45" s="128"/>
      <c r="CA45" s="128"/>
      <c r="CB45" s="129"/>
    </row>
    <row r="46" spans="3:80" ht="9.75" customHeight="1" thickBot="1">
      <c r="C46" s="130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2"/>
      <c r="AQ46" s="130"/>
      <c r="AR46" s="131"/>
      <c r="AS46" s="131"/>
      <c r="AT46" s="131"/>
      <c r="AU46" s="131"/>
      <c r="AV46" s="131"/>
      <c r="AW46" s="131"/>
      <c r="AX46" s="131"/>
      <c r="AY46" s="131"/>
      <c r="AZ46" s="131"/>
      <c r="BA46" s="131"/>
      <c r="BB46" s="131"/>
      <c r="BC46" s="131"/>
      <c r="BD46" s="131"/>
      <c r="BE46" s="131"/>
      <c r="BF46" s="131"/>
      <c r="BG46" s="131"/>
      <c r="BH46" s="131"/>
      <c r="BI46" s="131"/>
      <c r="BJ46" s="131"/>
      <c r="BK46" s="131"/>
      <c r="BL46" s="131"/>
      <c r="BM46" s="131"/>
      <c r="BN46" s="131"/>
      <c r="BO46" s="131"/>
      <c r="BP46" s="131"/>
      <c r="BQ46" s="131"/>
      <c r="BR46" s="131"/>
      <c r="BS46" s="131"/>
      <c r="BT46" s="131"/>
      <c r="BU46" s="131"/>
      <c r="BV46" s="131"/>
      <c r="BW46" s="131"/>
      <c r="BX46" s="131"/>
      <c r="BY46" s="131"/>
      <c r="BZ46" s="131"/>
      <c r="CA46" s="131"/>
      <c r="CB46" s="132"/>
    </row>
  </sheetData>
  <mergeCells count="12">
    <mergeCell ref="C9:CB10"/>
    <mergeCell ref="C11:CB24"/>
    <mergeCell ref="C26:AN27"/>
    <mergeCell ref="C28:AN46"/>
    <mergeCell ref="AQ26:CB27"/>
    <mergeCell ref="AQ28:CB46"/>
    <mergeCell ref="W2:AN3"/>
    <mergeCell ref="W4:AN7"/>
    <mergeCell ref="AQ2:BH3"/>
    <mergeCell ref="AQ4:BH7"/>
    <mergeCell ref="BK2:CB3"/>
    <mergeCell ref="BK4:CB7"/>
  </mergeCells>
  <pageMargins left="0.511811024" right="0.511811024" top="0.78740157499999996" bottom="0.78740157499999996" header="0.31496062000000002" footer="0.31496062000000002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8BF2B-B49B-44EF-B12C-B5E191676473}">
  <sheetPr codeName="Planilha7">
    <tabColor rgb="FFFF0000"/>
  </sheetPr>
  <dimension ref="A1:T14"/>
  <sheetViews>
    <sheetView workbookViewId="0">
      <selection activeCell="J49" sqref="J49"/>
    </sheetView>
  </sheetViews>
  <sheetFormatPr defaultRowHeight="14.5"/>
  <cols>
    <col min="1" max="1" width="14.6328125" bestFit="1" customWidth="1"/>
    <col min="2" max="2" width="16.1796875" customWidth="1"/>
    <col min="3" max="3" width="12.6328125" customWidth="1"/>
    <col min="4" max="4" width="17.81640625" bestFit="1" customWidth="1"/>
    <col min="6" max="6" width="10.08984375" bestFit="1" customWidth="1"/>
  </cols>
  <sheetData>
    <row r="1" spans="1:20" s="16" customFormat="1" ht="40.25" customHeight="1">
      <c r="A1" s="19"/>
      <c r="B1" s="53"/>
    </row>
    <row r="2" spans="1:20" s="17" customFormat="1" ht="4.5" customHeight="1">
      <c r="A2" s="20"/>
    </row>
    <row r="3" spans="1:20" ht="4.5" customHeight="1" thickBot="1">
      <c r="A3" s="18"/>
    </row>
    <row r="4" spans="1:20" ht="18.5">
      <c r="B4" s="63" t="s">
        <v>0</v>
      </c>
      <c r="C4" s="64" t="s">
        <v>76</v>
      </c>
      <c r="D4" s="65" t="s">
        <v>11</v>
      </c>
      <c r="F4" s="134" t="s">
        <v>159</v>
      </c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20" ht="15.5">
      <c r="B5" s="66" t="s">
        <v>5</v>
      </c>
      <c r="C5" s="62">
        <v>48</v>
      </c>
      <c r="D5" s="67">
        <v>65.900000000000006</v>
      </c>
      <c r="F5" s="71"/>
      <c r="G5" s="71"/>
      <c r="H5" s="71"/>
      <c r="I5" s="71"/>
      <c r="J5" s="71"/>
      <c r="K5" s="137">
        <f>_xlfn.XLOOKUP(T5,C4:C12,D4:D12,"Não encontrado",-1)</f>
        <v>63.9</v>
      </c>
      <c r="L5" s="137"/>
      <c r="M5" s="71"/>
      <c r="N5" s="71"/>
      <c r="O5" s="71"/>
      <c r="P5" s="71"/>
      <c r="Q5" s="71"/>
      <c r="R5" s="71"/>
      <c r="S5" t="s">
        <v>163</v>
      </c>
      <c r="T5">
        <v>20</v>
      </c>
    </row>
    <row r="6" spans="1:20" ht="15.5">
      <c r="B6" s="66" t="s">
        <v>5</v>
      </c>
      <c r="C6" s="62">
        <v>17</v>
      </c>
      <c r="D6" s="67">
        <v>63.9</v>
      </c>
    </row>
    <row r="7" spans="1:20" ht="18.5">
      <c r="B7" s="66" t="s">
        <v>5</v>
      </c>
      <c r="C7" s="62">
        <v>37</v>
      </c>
      <c r="D7" s="67">
        <v>70.900000000000006</v>
      </c>
      <c r="F7" s="134" t="s">
        <v>160</v>
      </c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20" ht="15.5">
      <c r="B8" s="66" t="s">
        <v>29</v>
      </c>
      <c r="C8" s="62">
        <v>36</v>
      </c>
      <c r="D8" s="67">
        <v>145</v>
      </c>
      <c r="F8" s="72"/>
      <c r="G8" s="72"/>
      <c r="H8" s="72"/>
      <c r="I8" s="72"/>
      <c r="J8" s="136" t="str">
        <f>_xlfn.XLOOKUP(T8,C4:C12,B4:B12,"Não encontrado",-1)</f>
        <v>Calça jeans</v>
      </c>
      <c r="K8" s="136"/>
      <c r="L8" s="136"/>
      <c r="M8" s="136"/>
      <c r="N8" s="72"/>
      <c r="O8" s="72"/>
      <c r="P8" s="72"/>
      <c r="Q8" s="72"/>
      <c r="R8" s="72"/>
      <c r="S8" t="s">
        <v>163</v>
      </c>
      <c r="T8">
        <v>35</v>
      </c>
    </row>
    <row r="9" spans="1:20" ht="15.5">
      <c r="B9" s="66" t="s">
        <v>28</v>
      </c>
      <c r="C9" s="62">
        <v>21</v>
      </c>
      <c r="D9" s="67">
        <v>259.89999999999998</v>
      </c>
    </row>
    <row r="10" spans="1:20" ht="18.5">
      <c r="B10" s="66" t="s">
        <v>6</v>
      </c>
      <c r="C10" s="62">
        <v>23</v>
      </c>
      <c r="D10" s="67">
        <v>39.9</v>
      </c>
      <c r="F10" s="134" t="s">
        <v>161</v>
      </c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20" ht="15.5">
      <c r="B11" s="66" t="s">
        <v>23</v>
      </c>
      <c r="C11" s="62">
        <v>24</v>
      </c>
      <c r="D11" s="67">
        <v>85.9</v>
      </c>
      <c r="F11" s="72"/>
      <c r="G11" s="72"/>
      <c r="H11" s="72"/>
      <c r="I11" s="72"/>
      <c r="J11" s="72"/>
      <c r="K11" s="136" t="str">
        <f>IF(_xlfn.XLOOKUP(T11,D4:D12,B4:B12,"Não há",0)="Bermuda","Sim, existe.","Não existe.")</f>
        <v>Sim, existe.</v>
      </c>
      <c r="L11" s="136"/>
      <c r="M11" s="72"/>
      <c r="N11" s="72"/>
      <c r="O11" s="72"/>
      <c r="P11" s="72"/>
      <c r="Q11" s="72"/>
      <c r="R11" s="72"/>
      <c r="S11" t="s">
        <v>164</v>
      </c>
      <c r="T11">
        <v>65.900000000000006</v>
      </c>
    </row>
    <row r="12" spans="1:20" ht="16" thickBot="1">
      <c r="B12" s="68" t="s">
        <v>23</v>
      </c>
      <c r="C12" s="69">
        <v>35</v>
      </c>
      <c r="D12" s="70">
        <v>89.9</v>
      </c>
    </row>
    <row r="13" spans="1:20" ht="18.5">
      <c r="F13" s="134" t="s">
        <v>162</v>
      </c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20" ht="15.5">
      <c r="F14" s="72"/>
      <c r="G14" s="72"/>
      <c r="H14" s="72"/>
      <c r="I14" s="72"/>
      <c r="J14" s="72"/>
      <c r="K14" s="133" t="str">
        <f>_xlfn.XLOOKUP(LARGE(D4:D12,1),D4:D12,B4:B12)</f>
        <v>Bolsa de couro</v>
      </c>
      <c r="L14" s="133"/>
      <c r="M14" s="72"/>
      <c r="N14" s="72"/>
      <c r="O14" s="72"/>
      <c r="P14" s="72"/>
      <c r="Q14" s="72"/>
      <c r="R14" s="72"/>
    </row>
  </sheetData>
  <mergeCells count="8">
    <mergeCell ref="K14:L14"/>
    <mergeCell ref="F4:R4"/>
    <mergeCell ref="F7:R7"/>
    <mergeCell ref="F10:R10"/>
    <mergeCell ref="F13:R13"/>
    <mergeCell ref="J8:M8"/>
    <mergeCell ref="K5:L5"/>
    <mergeCell ref="K11:L1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6482-AAB7-4C5D-A13C-E0866EC3EF60}">
  <sheetPr codeName="Planilha8">
    <tabColor rgb="FFFF0000"/>
  </sheetPr>
  <dimension ref="A1:T17"/>
  <sheetViews>
    <sheetView workbookViewId="0">
      <selection activeCell="X46" sqref="X46"/>
    </sheetView>
  </sheetViews>
  <sheetFormatPr defaultRowHeight="14.5"/>
  <cols>
    <col min="1" max="1" width="14.6328125" bestFit="1" customWidth="1"/>
    <col min="2" max="2" width="16.1796875" customWidth="1"/>
    <col min="3" max="3" width="12.6328125" customWidth="1"/>
    <col min="4" max="4" width="19.36328125" customWidth="1"/>
    <col min="6" max="6" width="10.08984375" bestFit="1" customWidth="1"/>
    <col min="13" max="13" width="8.7265625" customWidth="1"/>
  </cols>
  <sheetData>
    <row r="1" spans="1:20" s="16" customFormat="1" ht="40.25" customHeight="1">
      <c r="A1" s="19"/>
      <c r="B1" s="53"/>
    </row>
    <row r="2" spans="1:20" s="17" customFormat="1" ht="4.5" customHeight="1">
      <c r="A2" s="20"/>
    </row>
    <row r="3" spans="1:20" ht="4.5" customHeight="1">
      <c r="A3" s="18"/>
    </row>
    <row r="4" spans="1:20" ht="18.5">
      <c r="B4" s="13" t="s">
        <v>0</v>
      </c>
      <c r="C4" s="13" t="s">
        <v>76</v>
      </c>
      <c r="D4" s="13" t="s">
        <v>11</v>
      </c>
      <c r="F4" s="134" t="s">
        <v>159</v>
      </c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20" ht="15.5">
      <c r="B5" s="73" t="s">
        <v>5</v>
      </c>
      <c r="C5" s="62">
        <v>17</v>
      </c>
      <c r="D5" s="74">
        <v>63.9</v>
      </c>
      <c r="F5" s="71"/>
      <c r="G5" s="71"/>
      <c r="H5" s="71"/>
      <c r="I5" s="71"/>
      <c r="J5" s="71"/>
      <c r="K5" s="137">
        <f>VLOOKUP(T5,C5:D12,2,TRUE)</f>
        <v>259.89999999999998</v>
      </c>
      <c r="L5" s="137"/>
      <c r="M5" s="71"/>
      <c r="N5" s="71"/>
      <c r="O5" s="71"/>
      <c r="P5" s="71"/>
      <c r="Q5" s="71"/>
      <c r="R5" s="71"/>
      <c r="S5" t="s">
        <v>163</v>
      </c>
      <c r="T5">
        <v>20</v>
      </c>
    </row>
    <row r="6" spans="1:20" ht="15.5">
      <c r="B6" s="73" t="s">
        <v>28</v>
      </c>
      <c r="C6" s="62">
        <v>19</v>
      </c>
      <c r="D6" s="74">
        <v>259.89999999999998</v>
      </c>
    </row>
    <row r="7" spans="1:20" ht="18.5">
      <c r="B7" s="73" t="s">
        <v>6</v>
      </c>
      <c r="C7" s="62">
        <v>23</v>
      </c>
      <c r="D7" s="74">
        <v>39.9</v>
      </c>
      <c r="F7" s="134" t="s">
        <v>160</v>
      </c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20" ht="15.5">
      <c r="B8" s="73" t="s">
        <v>23</v>
      </c>
      <c r="C8" s="62">
        <v>24</v>
      </c>
      <c r="D8" s="74">
        <v>85.9</v>
      </c>
      <c r="F8" s="72"/>
      <c r="G8" s="72"/>
      <c r="H8" s="72"/>
      <c r="I8" s="72"/>
      <c r="J8" s="136" t="str">
        <f>INDEX(TB_Desafio2[],MATCH(T8,TB_Desafio2[Estoque],1),1)</f>
        <v>Calça jeans</v>
      </c>
      <c r="K8" s="136"/>
      <c r="L8" s="136"/>
      <c r="M8" s="136"/>
      <c r="N8" s="72"/>
      <c r="O8" s="72"/>
      <c r="P8" s="72"/>
      <c r="Q8" s="72"/>
      <c r="R8" s="72"/>
      <c r="S8" t="s">
        <v>163</v>
      </c>
      <c r="T8">
        <v>35</v>
      </c>
    </row>
    <row r="9" spans="1:20" ht="15.5">
      <c r="B9" s="73" t="s">
        <v>23</v>
      </c>
      <c r="C9" s="62">
        <v>34</v>
      </c>
      <c r="D9" s="74">
        <v>89.9</v>
      </c>
    </row>
    <row r="10" spans="1:20" ht="18.5">
      <c r="B10" s="73" t="s">
        <v>29</v>
      </c>
      <c r="C10" s="62">
        <v>36</v>
      </c>
      <c r="D10" s="74">
        <v>145</v>
      </c>
      <c r="F10" s="134" t="s">
        <v>161</v>
      </c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20" ht="15.5">
      <c r="B11" s="73" t="s">
        <v>5</v>
      </c>
      <c r="C11" s="62">
        <v>37</v>
      </c>
      <c r="D11" s="74">
        <v>70.900000000000006</v>
      </c>
      <c r="F11" s="72"/>
      <c r="G11" s="72"/>
      <c r="H11" s="72"/>
      <c r="I11" s="72"/>
      <c r="J11" s="72"/>
      <c r="K11" s="136" t="str">
        <f>IF(INDEX(TB_Desafio2[],MATCH(T11,TB_Desafio2[Preço Unitário],0),1)="Bermuda","Sim, há.","Não há.")</f>
        <v>Sim, há.</v>
      </c>
      <c r="L11" s="136"/>
      <c r="M11" s="72"/>
      <c r="N11" s="72"/>
      <c r="O11" s="72"/>
      <c r="P11" s="72"/>
      <c r="Q11" s="72"/>
      <c r="R11" s="72"/>
      <c r="S11" t="s">
        <v>164</v>
      </c>
      <c r="T11">
        <v>65.900000000000006</v>
      </c>
    </row>
    <row r="12" spans="1:20" ht="15.5">
      <c r="B12" s="73" t="s">
        <v>5</v>
      </c>
      <c r="C12" s="62">
        <v>48</v>
      </c>
      <c r="D12" s="74">
        <v>65.900000000000006</v>
      </c>
    </row>
    <row r="13" spans="1:20" ht="18.5">
      <c r="F13" s="134" t="s">
        <v>162</v>
      </c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20" ht="15.5">
      <c r="F14" s="72"/>
      <c r="G14" s="72"/>
      <c r="H14" s="72"/>
      <c r="I14" s="72"/>
      <c r="J14" s="72"/>
      <c r="K14" s="136" t="str">
        <f>INDEX(TB_Desafio2[],MATCH(LARGE(TB_Desafio2[Preço Unitário],1),TB_Desafio2[Preço Unitário],0),1)</f>
        <v>Bolsa de couro</v>
      </c>
      <c r="L14" s="136"/>
      <c r="M14" s="72"/>
      <c r="N14" s="72"/>
      <c r="O14" s="72"/>
      <c r="P14" s="72"/>
      <c r="Q14" s="72"/>
      <c r="R14" s="72"/>
    </row>
    <row r="17" spans="11:12" ht="15.5">
      <c r="K17" s="75"/>
      <c r="L17" s="75"/>
    </row>
  </sheetData>
  <sortState xmlns:xlrd2="http://schemas.microsoft.com/office/spreadsheetml/2017/richdata2" ref="B5:D12">
    <sortCondition ref="B5:B12"/>
  </sortState>
  <mergeCells count="8">
    <mergeCell ref="F13:R13"/>
    <mergeCell ref="K14:L14"/>
    <mergeCell ref="F4:R4"/>
    <mergeCell ref="K5:L5"/>
    <mergeCell ref="F7:R7"/>
    <mergeCell ref="J8:M8"/>
    <mergeCell ref="F10:R10"/>
    <mergeCell ref="K11:L1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03307-3212-495B-83EA-7628A9E40773}">
  <sheetPr codeName="Planilha9">
    <tabColor rgb="FF92D050"/>
  </sheetPr>
  <dimension ref="A1:F32"/>
  <sheetViews>
    <sheetView workbookViewId="0">
      <selection activeCell="F52" sqref="F52"/>
    </sheetView>
  </sheetViews>
  <sheetFormatPr defaultRowHeight="14.5"/>
  <cols>
    <col min="1" max="1" width="27.26953125" customWidth="1"/>
    <col min="2" max="2" width="31.7265625" customWidth="1"/>
    <col min="3" max="3" width="24.08984375" customWidth="1"/>
    <col min="4" max="4" width="8.90625" bestFit="1" customWidth="1"/>
    <col min="5" max="5" width="16.90625" bestFit="1" customWidth="1"/>
    <col min="6" max="6" width="20" bestFit="1" customWidth="1"/>
    <col min="7" max="8" width="8.7265625" customWidth="1"/>
  </cols>
  <sheetData>
    <row r="1" spans="1:6" ht="67.5" customHeight="1">
      <c r="C1" s="81"/>
      <c r="D1" s="81"/>
    </row>
    <row r="2" spans="1:6" ht="15.5">
      <c r="A2" s="81"/>
      <c r="B2" s="81"/>
      <c r="C2" s="81"/>
      <c r="D2" s="81"/>
    </row>
    <row r="3" spans="1:6" ht="15.5">
      <c r="A3" s="82" t="s">
        <v>166</v>
      </c>
      <c r="B3" s="81" t="s">
        <v>169</v>
      </c>
      <c r="C3" s="81" t="s">
        <v>168</v>
      </c>
      <c r="E3" s="79" t="s">
        <v>166</v>
      </c>
      <c r="F3" t="s">
        <v>171</v>
      </c>
    </row>
    <row r="4" spans="1:6" ht="15.5">
      <c r="A4" s="83" t="s">
        <v>13</v>
      </c>
      <c r="B4" s="84">
        <v>964.59999999999991</v>
      </c>
      <c r="C4" s="81">
        <v>110</v>
      </c>
      <c r="E4" s="80" t="s">
        <v>13</v>
      </c>
      <c r="F4">
        <v>6</v>
      </c>
    </row>
    <row r="5" spans="1:6" ht="15.5">
      <c r="A5" s="85" t="s">
        <v>29</v>
      </c>
      <c r="B5" s="84">
        <v>145</v>
      </c>
      <c r="C5" s="81">
        <v>6</v>
      </c>
      <c r="E5" s="80" t="s">
        <v>14</v>
      </c>
      <c r="F5">
        <v>9</v>
      </c>
    </row>
    <row r="6" spans="1:6" ht="15.5">
      <c r="A6" s="85" t="s">
        <v>28</v>
      </c>
      <c r="B6" s="84">
        <v>259.89999999999998</v>
      </c>
      <c r="C6" s="81">
        <v>2</v>
      </c>
      <c r="E6" s="80" t="s">
        <v>12</v>
      </c>
      <c r="F6">
        <v>45</v>
      </c>
    </row>
    <row r="7" spans="1:6" ht="15.5">
      <c r="A7" s="85" t="s">
        <v>6</v>
      </c>
      <c r="B7" s="84">
        <v>39.9</v>
      </c>
      <c r="C7" s="81">
        <v>23</v>
      </c>
      <c r="E7" s="80" t="s">
        <v>167</v>
      </c>
      <c r="F7">
        <v>60</v>
      </c>
    </row>
    <row r="8" spans="1:6" ht="15.5">
      <c r="A8" s="85" t="s">
        <v>7</v>
      </c>
      <c r="B8" s="84">
        <v>49.9</v>
      </c>
      <c r="C8" s="81">
        <v>2</v>
      </c>
    </row>
    <row r="9" spans="1:6" ht="15.5">
      <c r="A9" s="85" t="s">
        <v>20</v>
      </c>
      <c r="B9" s="84">
        <v>349.9</v>
      </c>
      <c r="C9" s="81">
        <v>32</v>
      </c>
    </row>
    <row r="10" spans="1:6" ht="15.5">
      <c r="A10" s="85" t="s">
        <v>19</v>
      </c>
      <c r="B10" s="84">
        <v>120</v>
      </c>
      <c r="C10" s="81">
        <v>45</v>
      </c>
      <c r="D10" s="81"/>
    </row>
    <row r="11" spans="1:6" ht="15.5">
      <c r="A11" s="83" t="s">
        <v>14</v>
      </c>
      <c r="B11" s="84">
        <v>1789.4</v>
      </c>
      <c r="C11" s="81">
        <v>350</v>
      </c>
      <c r="D11" s="81"/>
    </row>
    <row r="12" spans="1:6" ht="15.5">
      <c r="A12" s="85" t="s">
        <v>106</v>
      </c>
      <c r="B12" s="84">
        <v>269.70000000000005</v>
      </c>
      <c r="C12" s="81">
        <v>131</v>
      </c>
      <c r="D12" s="81"/>
    </row>
    <row r="13" spans="1:6" ht="15.5">
      <c r="A13" s="85" t="s">
        <v>27</v>
      </c>
      <c r="B13" s="84">
        <v>764.8</v>
      </c>
      <c r="C13" s="81">
        <v>108</v>
      </c>
    </row>
    <row r="14" spans="1:6" ht="15.5">
      <c r="A14" s="85" t="s">
        <v>113</v>
      </c>
      <c r="B14" s="84">
        <v>754.9</v>
      </c>
      <c r="C14" s="81">
        <v>111</v>
      </c>
    </row>
    <row r="15" spans="1:6" ht="15.5">
      <c r="A15" s="83" t="s">
        <v>12</v>
      </c>
      <c r="B15" s="84">
        <v>5298.7</v>
      </c>
      <c r="C15" s="81">
        <v>1547</v>
      </c>
    </row>
    <row r="16" spans="1:6" ht="15.5">
      <c r="A16" s="85" t="s">
        <v>5</v>
      </c>
      <c r="B16" s="84">
        <v>206.70000000000002</v>
      </c>
      <c r="C16" s="81">
        <v>93</v>
      </c>
    </row>
    <row r="17" spans="1:3" ht="15.5">
      <c r="A17" s="85" t="s">
        <v>110</v>
      </c>
      <c r="B17" s="84">
        <v>540</v>
      </c>
      <c r="C17" s="81">
        <v>110</v>
      </c>
    </row>
    <row r="18" spans="1:3" ht="15.5">
      <c r="A18" s="85" t="s">
        <v>23</v>
      </c>
      <c r="B18" s="84">
        <v>268.70000000000005</v>
      </c>
      <c r="C18" s="81">
        <v>106</v>
      </c>
    </row>
    <row r="19" spans="1:3" ht="15.5">
      <c r="A19" s="85" t="s">
        <v>26</v>
      </c>
      <c r="B19" s="84">
        <v>140.69999999999999</v>
      </c>
      <c r="C19" s="81">
        <v>119</v>
      </c>
    </row>
    <row r="20" spans="1:3" ht="15.5">
      <c r="A20" s="85" t="s">
        <v>109</v>
      </c>
      <c r="B20" s="84">
        <v>179.8</v>
      </c>
      <c r="C20" s="81">
        <v>80</v>
      </c>
    </row>
    <row r="21" spans="1:3" ht="15.5">
      <c r="A21" s="85" t="s">
        <v>18</v>
      </c>
      <c r="B21" s="84">
        <v>122.3</v>
      </c>
      <c r="C21" s="81">
        <v>72</v>
      </c>
    </row>
    <row r="22" spans="1:3" ht="15.5">
      <c r="A22" s="85" t="s">
        <v>9</v>
      </c>
      <c r="B22" s="84">
        <v>25.9</v>
      </c>
      <c r="C22" s="81">
        <v>43</v>
      </c>
    </row>
    <row r="23" spans="1:3" ht="15.5">
      <c r="A23" s="85" t="s">
        <v>17</v>
      </c>
      <c r="B23" s="84">
        <v>62.8</v>
      </c>
      <c r="C23" s="81">
        <v>86</v>
      </c>
    </row>
    <row r="24" spans="1:3" ht="15.5">
      <c r="A24" s="85" t="s">
        <v>97</v>
      </c>
      <c r="B24" s="84">
        <v>98.699999999999989</v>
      </c>
      <c r="C24" s="81">
        <v>130</v>
      </c>
    </row>
    <row r="25" spans="1:3" ht="15.5">
      <c r="A25" s="85" t="s">
        <v>22</v>
      </c>
      <c r="B25" s="84">
        <v>902.8</v>
      </c>
      <c r="C25" s="81">
        <v>69</v>
      </c>
    </row>
    <row r="26" spans="1:3" ht="15.5">
      <c r="A26" s="85" t="s">
        <v>93</v>
      </c>
      <c r="B26" s="84">
        <v>869.69999999999993</v>
      </c>
      <c r="C26" s="81">
        <v>70</v>
      </c>
    </row>
    <row r="27" spans="1:3" ht="15.5">
      <c r="A27" s="85" t="s">
        <v>21</v>
      </c>
      <c r="B27" s="84">
        <v>809.69999999999993</v>
      </c>
      <c r="C27" s="81">
        <v>106</v>
      </c>
    </row>
    <row r="28" spans="1:3" ht="15.5">
      <c r="A28" s="85" t="s">
        <v>101</v>
      </c>
      <c r="B28" s="84">
        <v>149.69999999999999</v>
      </c>
      <c r="C28" s="81">
        <v>93</v>
      </c>
    </row>
    <row r="29" spans="1:3" ht="15.5">
      <c r="A29" s="85" t="s">
        <v>25</v>
      </c>
      <c r="B29" s="84">
        <v>274.8</v>
      </c>
      <c r="C29" s="81">
        <v>106</v>
      </c>
    </row>
    <row r="30" spans="1:3" ht="15.5">
      <c r="A30" s="85" t="s">
        <v>89</v>
      </c>
      <c r="B30" s="84">
        <v>217.5</v>
      </c>
      <c r="C30" s="81">
        <v>133</v>
      </c>
    </row>
    <row r="31" spans="1:3" ht="15.5">
      <c r="A31" s="85" t="s">
        <v>24</v>
      </c>
      <c r="B31" s="84">
        <v>428.9</v>
      </c>
      <c r="C31" s="81">
        <v>131</v>
      </c>
    </row>
    <row r="32" spans="1:3" ht="15.5">
      <c r="A32" s="83" t="s">
        <v>167</v>
      </c>
      <c r="B32" s="84">
        <v>8052.6999999999989</v>
      </c>
      <c r="C32" s="81">
        <v>2007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6DF1-4CBC-4C69-9CA2-279B04767911}">
  <sheetPr codeName="Planilha10">
    <tabColor rgb="FF92D050"/>
  </sheetPr>
  <dimension ref="A3:J12"/>
  <sheetViews>
    <sheetView topLeftCell="A2" workbookViewId="0">
      <selection activeCell="F5" sqref="F5"/>
    </sheetView>
  </sheetViews>
  <sheetFormatPr defaultRowHeight="14.5"/>
  <cols>
    <col min="1" max="1" width="17" bestFit="1" customWidth="1"/>
    <col min="2" max="2" width="12.7265625" bestFit="1" customWidth="1"/>
    <col min="3" max="3" width="11.6328125" bestFit="1" customWidth="1"/>
    <col min="4" max="4" width="10.453125" bestFit="1" customWidth="1"/>
    <col min="5" max="5" width="17" bestFit="1" customWidth="1"/>
    <col min="6" max="6" width="8.90625" bestFit="1" customWidth="1"/>
    <col min="7" max="9" width="10.1796875" bestFit="1" customWidth="1"/>
    <col min="10" max="10" width="12.7265625" bestFit="1" customWidth="1"/>
    <col min="11" max="78" width="10.453125" bestFit="1" customWidth="1"/>
    <col min="79" max="79" width="10" bestFit="1" customWidth="1"/>
  </cols>
  <sheetData>
    <row r="3" spans="1:10">
      <c r="A3" s="79" t="s">
        <v>166</v>
      </c>
      <c r="B3" t="s">
        <v>180</v>
      </c>
      <c r="C3" t="s">
        <v>170</v>
      </c>
      <c r="E3" s="79" t="s">
        <v>166</v>
      </c>
      <c r="F3" t="s">
        <v>84</v>
      </c>
      <c r="G3" t="s">
        <v>83</v>
      </c>
    </row>
    <row r="4" spans="1:10">
      <c r="A4" s="80" t="s">
        <v>172</v>
      </c>
      <c r="B4" s="86">
        <v>1750.9</v>
      </c>
      <c r="C4">
        <v>14</v>
      </c>
      <c r="E4" s="80" t="s">
        <v>13</v>
      </c>
      <c r="F4" s="87">
        <v>0.15879092503182729</v>
      </c>
      <c r="G4" s="87">
        <v>0.84120907496817265</v>
      </c>
      <c r="H4" t="str">
        <f>E4</f>
        <v>Acessórios</v>
      </c>
      <c r="I4" s="88">
        <f>GETPIVOTDATA("[Measures].[% Vendas]",$E$3,"[TB_Produtos].[Categoria]","[TB_Produtos].[Categoria].&amp;[Acessórios]")</f>
        <v>0.15879092503182729</v>
      </c>
      <c r="J4" s="88">
        <f>GETPIVOTDATA("[Measures].[% Restante]",$E$3,"[TB_Produtos].[Categoria]","[TB_Produtos].[Categoria].&amp;[Acessórios]")</f>
        <v>0.84120907496817265</v>
      </c>
    </row>
    <row r="5" spans="1:10">
      <c r="A5" s="80" t="s">
        <v>173</v>
      </c>
      <c r="B5" s="86">
        <v>2974.9</v>
      </c>
      <c r="C5">
        <v>15</v>
      </c>
      <c r="E5" s="80" t="s">
        <v>14</v>
      </c>
      <c r="F5" s="87">
        <v>0.10835675338089411</v>
      </c>
      <c r="G5" s="87">
        <v>0.89164324661910588</v>
      </c>
      <c r="H5" t="str">
        <f>E5</f>
        <v>Calçado</v>
      </c>
      <c r="I5" s="88">
        <f>GETPIVOTDATA("[Measures].[% Vendas]",$E$3,"[TB_Produtos].[Categoria]","[TB_Produtos].[Categoria].&amp;[Calçado]")</f>
        <v>0.10835675338089411</v>
      </c>
      <c r="J5" s="88">
        <f>GETPIVOTDATA("[Measures].[% Restante]",$E$3,"[TB_Produtos].[Categoria]","[TB_Produtos].[Categoria].&amp;[Calçado]")</f>
        <v>0.89164324661910588</v>
      </c>
    </row>
    <row r="6" spans="1:10">
      <c r="A6" s="80" t="s">
        <v>174</v>
      </c>
      <c r="B6" s="86">
        <v>3698.1</v>
      </c>
      <c r="C6">
        <v>26</v>
      </c>
      <c r="E6" s="80" t="s">
        <v>12</v>
      </c>
      <c r="F6" s="87">
        <v>0.73285232158727887</v>
      </c>
      <c r="G6" s="87">
        <v>0.26714767841272113</v>
      </c>
      <c r="H6" t="str">
        <f>E6</f>
        <v>Vestuário</v>
      </c>
      <c r="I6" s="88">
        <f>GETPIVOTDATA("[Measures].[% Vendas]",$E$3,"[TB_Produtos].[Categoria]","[TB_Produtos].[Categoria].&amp;[Vestuário]")</f>
        <v>0.73285232158727887</v>
      </c>
      <c r="J6" s="88">
        <f>GETPIVOTDATA("[Measures].[% Restante]",$E$3,"[TB_Produtos].[Categoria]","[TB_Produtos].[Categoria].&amp;[Vestuário]")</f>
        <v>0.26714767841272113</v>
      </c>
    </row>
    <row r="7" spans="1:10">
      <c r="A7" s="80" t="s">
        <v>175</v>
      </c>
      <c r="B7" s="86">
        <v>3651.0999999999995</v>
      </c>
      <c r="C7">
        <v>28</v>
      </c>
      <c r="E7" s="80" t="s">
        <v>167</v>
      </c>
      <c r="F7" s="87">
        <v>1</v>
      </c>
      <c r="G7" s="87">
        <v>0</v>
      </c>
    </row>
    <row r="8" spans="1:10">
      <c r="A8" s="80" t="s">
        <v>176</v>
      </c>
      <c r="B8" s="86">
        <v>2776.2999999999997</v>
      </c>
      <c r="C8">
        <v>17</v>
      </c>
    </row>
    <row r="9" spans="1:10">
      <c r="A9" s="80" t="s">
        <v>177</v>
      </c>
      <c r="B9" s="86">
        <v>3477.7000000000007</v>
      </c>
      <c r="C9">
        <v>41</v>
      </c>
    </row>
    <row r="10" spans="1:10">
      <c r="A10" s="80" t="s">
        <v>178</v>
      </c>
      <c r="B10" s="86">
        <v>8602.0999999999985</v>
      </c>
      <c r="C10">
        <v>53</v>
      </c>
    </row>
    <row r="11" spans="1:10">
      <c r="A11" s="80" t="s">
        <v>179</v>
      </c>
      <c r="B11" s="86">
        <v>6373.7</v>
      </c>
      <c r="C11">
        <v>56</v>
      </c>
    </row>
    <row r="12" spans="1:10">
      <c r="A12" s="80" t="s">
        <v>167</v>
      </c>
      <c r="B12" s="86">
        <v>33304.799999999988</v>
      </c>
      <c r="C12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36B9B-BF70-450C-B8B8-381A47393DBE}">
  <sheetPr codeName="Planilha11">
    <tabColor rgb="FF92D050"/>
  </sheetPr>
  <dimension ref="A3:B9"/>
  <sheetViews>
    <sheetView workbookViewId="0">
      <selection activeCell="A6" sqref="A6"/>
    </sheetView>
  </sheetViews>
  <sheetFormatPr defaultRowHeight="14.5"/>
  <cols>
    <col min="1" max="1" width="17" bestFit="1" customWidth="1"/>
    <col min="2" max="2" width="12.7265625" bestFit="1" customWidth="1"/>
    <col min="3" max="3" width="5.90625" bestFit="1" customWidth="1"/>
    <col min="4" max="4" width="5.08984375" bestFit="1" customWidth="1"/>
    <col min="5" max="5" width="4.6328125" bestFit="1" customWidth="1"/>
    <col min="6" max="6" width="5.54296875" bestFit="1" customWidth="1"/>
    <col min="7" max="7" width="10" bestFit="1" customWidth="1"/>
  </cols>
  <sheetData>
    <row r="3" spans="1:2">
      <c r="A3" s="79" t="s">
        <v>166</v>
      </c>
      <c r="B3" t="s">
        <v>180</v>
      </c>
    </row>
    <row r="4" spans="1:2">
      <c r="A4" s="80" t="s">
        <v>71</v>
      </c>
      <c r="B4" s="86">
        <v>3259.7000000000003</v>
      </c>
    </row>
    <row r="5" spans="1:2">
      <c r="A5" s="80" t="s">
        <v>121</v>
      </c>
      <c r="B5" s="86">
        <v>6552.6</v>
      </c>
    </row>
    <row r="6" spans="1:2">
      <c r="A6" s="80" t="s">
        <v>120</v>
      </c>
      <c r="B6" s="86">
        <v>6811.2</v>
      </c>
    </row>
    <row r="7" spans="1:2">
      <c r="A7" s="80" t="s">
        <v>74</v>
      </c>
      <c r="B7" s="86">
        <v>8079.7</v>
      </c>
    </row>
    <row r="8" spans="1:2">
      <c r="A8" s="80" t="s">
        <v>72</v>
      </c>
      <c r="B8" s="86">
        <v>8601.5999999999985</v>
      </c>
    </row>
    <row r="9" spans="1:2">
      <c r="A9" s="80" t="s">
        <v>167</v>
      </c>
      <c r="B9" s="86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094CC-54D9-49FB-A489-2AF7C391A7BD}">
  <sheetPr codeName="Planilha13"/>
  <dimension ref="A1:H253"/>
  <sheetViews>
    <sheetView workbookViewId="0">
      <selection activeCell="L37" sqref="L37"/>
    </sheetView>
  </sheetViews>
  <sheetFormatPr defaultRowHeight="14.5"/>
  <cols>
    <col min="1" max="1" width="10.453125" bestFit="1" customWidth="1"/>
    <col min="2" max="2" width="8.81640625" bestFit="1" customWidth="1"/>
    <col min="3" max="3" width="11.08984375" bestFit="1" customWidth="1"/>
    <col min="4" max="4" width="6.26953125" bestFit="1" customWidth="1"/>
    <col min="5" max="5" width="15.1796875" bestFit="1" customWidth="1"/>
    <col min="6" max="6" width="15.453125" bestFit="1" customWidth="1"/>
    <col min="7" max="7" width="7.36328125" bestFit="1" customWidth="1"/>
    <col min="8" max="8" width="11.36328125" bestFit="1" customWidth="1"/>
  </cols>
  <sheetData>
    <row r="1" spans="1:8">
      <c r="A1" t="s">
        <v>75</v>
      </c>
      <c r="B1" t="s">
        <v>30</v>
      </c>
      <c r="C1" t="s">
        <v>10</v>
      </c>
      <c r="D1" t="s">
        <v>15</v>
      </c>
      <c r="E1" t="s">
        <v>11</v>
      </c>
      <c r="F1" t="s">
        <v>181</v>
      </c>
      <c r="G1" t="s">
        <v>16</v>
      </c>
      <c r="H1" t="s">
        <v>73</v>
      </c>
    </row>
    <row r="2" spans="1:8">
      <c r="A2" s="89">
        <v>44566</v>
      </c>
      <c r="B2" t="s">
        <v>62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118</v>
      </c>
    </row>
    <row r="3" spans="1:8">
      <c r="A3" s="89">
        <v>44567</v>
      </c>
      <c r="B3" t="s">
        <v>60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119</v>
      </c>
    </row>
    <row r="4" spans="1:8">
      <c r="A4" s="89">
        <v>44568</v>
      </c>
      <c r="B4" t="s">
        <v>95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117</v>
      </c>
    </row>
    <row r="5" spans="1:8">
      <c r="A5" s="89">
        <v>44573</v>
      </c>
      <c r="B5" t="s">
        <v>108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115</v>
      </c>
    </row>
    <row r="6" spans="1:8">
      <c r="A6" s="89">
        <v>44574</v>
      </c>
      <c r="B6" t="s">
        <v>112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117</v>
      </c>
    </row>
    <row r="7" spans="1:8">
      <c r="A7" s="89">
        <v>44578</v>
      </c>
      <c r="B7" t="s">
        <v>34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116</v>
      </c>
    </row>
    <row r="8" spans="1:8">
      <c r="A8" s="89">
        <v>44584</v>
      </c>
      <c r="B8" t="s">
        <v>60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118</v>
      </c>
    </row>
    <row r="9" spans="1:8">
      <c r="A9" s="89">
        <v>44587</v>
      </c>
      <c r="B9" t="s">
        <v>90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119</v>
      </c>
    </row>
    <row r="10" spans="1:8">
      <c r="A10" s="89">
        <v>44589</v>
      </c>
      <c r="B10" t="s">
        <v>92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118</v>
      </c>
    </row>
    <row r="11" spans="1:8">
      <c r="A11" s="89">
        <v>44590</v>
      </c>
      <c r="B11" t="s">
        <v>92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119</v>
      </c>
    </row>
    <row r="12" spans="1:8">
      <c r="A12" s="89">
        <v>44591</v>
      </c>
      <c r="B12" t="s">
        <v>111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115</v>
      </c>
    </row>
    <row r="13" spans="1:8">
      <c r="A13" s="89">
        <v>44595</v>
      </c>
      <c r="B13" t="s">
        <v>34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115</v>
      </c>
    </row>
    <row r="14" spans="1:8">
      <c r="A14" s="89">
        <v>44597</v>
      </c>
      <c r="B14" t="s">
        <v>58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118</v>
      </c>
    </row>
    <row r="15" spans="1:8">
      <c r="A15" s="89">
        <v>44610</v>
      </c>
      <c r="B15" t="s">
        <v>54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115</v>
      </c>
    </row>
    <row r="16" spans="1:8">
      <c r="A16" s="89">
        <v>44613</v>
      </c>
      <c r="B16" t="s">
        <v>45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117</v>
      </c>
    </row>
    <row r="17" spans="1:8">
      <c r="A17" s="89">
        <v>44616</v>
      </c>
      <c r="B17" t="s">
        <v>85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119</v>
      </c>
    </row>
    <row r="18" spans="1:8">
      <c r="A18" s="89">
        <v>44617</v>
      </c>
      <c r="B18" t="s">
        <v>40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119</v>
      </c>
    </row>
    <row r="19" spans="1:8">
      <c r="A19" s="89">
        <v>44618</v>
      </c>
      <c r="B19" t="s">
        <v>53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115</v>
      </c>
    </row>
    <row r="20" spans="1:8">
      <c r="A20" s="89">
        <v>44621</v>
      </c>
      <c r="B20" t="s">
        <v>32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115</v>
      </c>
    </row>
    <row r="21" spans="1:8">
      <c r="A21" s="89">
        <v>44621</v>
      </c>
      <c r="B21" t="s">
        <v>44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118</v>
      </c>
    </row>
    <row r="22" spans="1:8">
      <c r="A22" s="89">
        <v>44622</v>
      </c>
      <c r="B22" t="s">
        <v>44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118</v>
      </c>
    </row>
    <row r="23" spans="1:8">
      <c r="A23" s="89">
        <v>44623</v>
      </c>
      <c r="B23" t="s">
        <v>38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116</v>
      </c>
    </row>
    <row r="24" spans="1:8">
      <c r="A24" s="89">
        <v>44624</v>
      </c>
      <c r="B24" t="s">
        <v>99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115</v>
      </c>
    </row>
    <row r="25" spans="1:8">
      <c r="A25" s="89">
        <v>44629</v>
      </c>
      <c r="B25" t="s">
        <v>86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115</v>
      </c>
    </row>
    <row r="26" spans="1:8">
      <c r="A26" s="89">
        <v>44634</v>
      </c>
      <c r="B26" t="s">
        <v>46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115</v>
      </c>
    </row>
    <row r="27" spans="1:8">
      <c r="A27" s="89">
        <v>44639</v>
      </c>
      <c r="B27" t="s">
        <v>65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118</v>
      </c>
    </row>
    <row r="28" spans="1:8">
      <c r="A28" s="89">
        <v>44641</v>
      </c>
      <c r="B28" t="s">
        <v>64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118</v>
      </c>
    </row>
    <row r="29" spans="1:8">
      <c r="A29" s="89">
        <v>44645</v>
      </c>
      <c r="B29" t="s">
        <v>49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119</v>
      </c>
    </row>
    <row r="30" spans="1:8">
      <c r="A30" s="89">
        <v>44653</v>
      </c>
      <c r="B30" t="s">
        <v>50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116</v>
      </c>
    </row>
    <row r="31" spans="1:8">
      <c r="A31" s="89">
        <v>44655</v>
      </c>
      <c r="B31" t="s">
        <v>36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117</v>
      </c>
    </row>
    <row r="32" spans="1:8">
      <c r="A32" s="89">
        <v>44659</v>
      </c>
      <c r="B32" t="s">
        <v>57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116</v>
      </c>
    </row>
    <row r="33" spans="1:8">
      <c r="A33" s="89">
        <v>44662</v>
      </c>
      <c r="B33" t="s">
        <v>103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118</v>
      </c>
    </row>
    <row r="34" spans="1:8">
      <c r="A34" s="89">
        <v>44663</v>
      </c>
      <c r="B34" t="s">
        <v>85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118</v>
      </c>
    </row>
    <row r="35" spans="1:8">
      <c r="A35" s="89">
        <v>44664</v>
      </c>
      <c r="B35" t="s">
        <v>70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119</v>
      </c>
    </row>
    <row r="36" spans="1:8">
      <c r="A36" s="89">
        <v>44666</v>
      </c>
      <c r="B36" t="s">
        <v>104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119</v>
      </c>
    </row>
    <row r="37" spans="1:8">
      <c r="A37" s="89">
        <v>44673</v>
      </c>
      <c r="B37" t="s">
        <v>58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116</v>
      </c>
    </row>
    <row r="38" spans="1:8">
      <c r="A38" s="89">
        <v>44674</v>
      </c>
      <c r="B38" t="s">
        <v>61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117</v>
      </c>
    </row>
    <row r="39" spans="1:8">
      <c r="A39" s="89">
        <v>44677</v>
      </c>
      <c r="B39" t="s">
        <v>51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117</v>
      </c>
    </row>
    <row r="40" spans="1:8">
      <c r="A40" s="89">
        <v>44678</v>
      </c>
      <c r="B40" t="s">
        <v>111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119</v>
      </c>
    </row>
    <row r="41" spans="1:8">
      <c r="A41" s="89">
        <v>44689</v>
      </c>
      <c r="B41" t="s">
        <v>56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116</v>
      </c>
    </row>
    <row r="42" spans="1:8">
      <c r="A42" s="89">
        <v>44690</v>
      </c>
      <c r="B42" t="s">
        <v>108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116</v>
      </c>
    </row>
    <row r="43" spans="1:8">
      <c r="A43" s="89">
        <v>44691</v>
      </c>
      <c r="B43" t="s">
        <v>58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119</v>
      </c>
    </row>
    <row r="44" spans="1:8">
      <c r="A44" s="89">
        <v>44692</v>
      </c>
      <c r="B44" t="s">
        <v>56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116</v>
      </c>
    </row>
    <row r="45" spans="1:8">
      <c r="A45" s="89">
        <v>44693</v>
      </c>
      <c r="B45" t="s">
        <v>67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117</v>
      </c>
    </row>
    <row r="46" spans="1:8">
      <c r="A46" s="89">
        <v>44696</v>
      </c>
      <c r="B46" t="s">
        <v>95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115</v>
      </c>
    </row>
    <row r="47" spans="1:8">
      <c r="A47" s="89">
        <v>44699</v>
      </c>
      <c r="B47" t="s">
        <v>33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117</v>
      </c>
    </row>
    <row r="48" spans="1:8">
      <c r="A48" s="89">
        <v>44719</v>
      </c>
      <c r="B48" t="s">
        <v>66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119</v>
      </c>
    </row>
    <row r="49" spans="1:8">
      <c r="A49" s="89">
        <v>44719</v>
      </c>
      <c r="B49" t="s">
        <v>90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119</v>
      </c>
    </row>
    <row r="50" spans="1:8">
      <c r="A50" s="89">
        <v>44721</v>
      </c>
      <c r="B50" t="s">
        <v>102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115</v>
      </c>
    </row>
    <row r="51" spans="1:8">
      <c r="A51" s="89">
        <v>44721</v>
      </c>
      <c r="B51" t="s">
        <v>35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115</v>
      </c>
    </row>
    <row r="52" spans="1:8">
      <c r="A52" s="89">
        <v>44723</v>
      </c>
      <c r="B52" t="s">
        <v>42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117</v>
      </c>
    </row>
    <row r="53" spans="1:8">
      <c r="A53" s="89">
        <v>44725</v>
      </c>
      <c r="B53" t="s">
        <v>57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119</v>
      </c>
    </row>
    <row r="54" spans="1:8">
      <c r="A54" s="89">
        <v>44728</v>
      </c>
      <c r="B54" t="s">
        <v>47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118</v>
      </c>
    </row>
    <row r="55" spans="1:8">
      <c r="A55" s="89">
        <v>44728</v>
      </c>
      <c r="B55" t="s">
        <v>112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119</v>
      </c>
    </row>
    <row r="56" spans="1:8">
      <c r="A56" s="89">
        <v>44729</v>
      </c>
      <c r="B56" t="s">
        <v>61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117</v>
      </c>
    </row>
    <row r="57" spans="1:8">
      <c r="A57" s="89">
        <v>44732</v>
      </c>
      <c r="B57" t="s">
        <v>68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118</v>
      </c>
    </row>
    <row r="58" spans="1:8">
      <c r="A58" s="89">
        <v>44740</v>
      </c>
      <c r="B58" t="s">
        <v>35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118</v>
      </c>
    </row>
    <row r="59" spans="1:8">
      <c r="A59" s="89">
        <v>44740</v>
      </c>
      <c r="B59" t="s">
        <v>60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118</v>
      </c>
    </row>
    <row r="60" spans="1:8">
      <c r="A60" s="89">
        <v>44741</v>
      </c>
      <c r="B60" t="s">
        <v>64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117</v>
      </c>
    </row>
    <row r="61" spans="1:8">
      <c r="A61" s="89">
        <v>44742</v>
      </c>
      <c r="B61" t="s">
        <v>98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118</v>
      </c>
    </row>
    <row r="62" spans="1:8">
      <c r="A62" s="89">
        <v>44747</v>
      </c>
      <c r="B62" t="s">
        <v>40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117</v>
      </c>
    </row>
    <row r="63" spans="1:8">
      <c r="A63" s="89">
        <v>44748</v>
      </c>
      <c r="B63" t="s">
        <v>57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115</v>
      </c>
    </row>
    <row r="64" spans="1:8">
      <c r="A64" s="89">
        <v>44749</v>
      </c>
      <c r="B64" t="s">
        <v>45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115</v>
      </c>
    </row>
    <row r="65" spans="1:8">
      <c r="A65" s="89">
        <v>44754</v>
      </c>
      <c r="B65" t="s">
        <v>41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119</v>
      </c>
    </row>
    <row r="66" spans="1:8">
      <c r="A66" s="89">
        <v>44755</v>
      </c>
      <c r="B66" t="s">
        <v>63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116</v>
      </c>
    </row>
    <row r="67" spans="1:8">
      <c r="A67" s="89">
        <v>44759</v>
      </c>
      <c r="B67" t="s">
        <v>70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116</v>
      </c>
    </row>
    <row r="68" spans="1:8">
      <c r="A68" s="89">
        <v>44765</v>
      </c>
      <c r="B68" t="s">
        <v>56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115</v>
      </c>
    </row>
    <row r="69" spans="1:8">
      <c r="A69" s="89">
        <v>44768</v>
      </c>
      <c r="B69" t="s">
        <v>99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115</v>
      </c>
    </row>
    <row r="70" spans="1:8">
      <c r="A70" s="89">
        <v>44770</v>
      </c>
      <c r="B70" t="s">
        <v>102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115</v>
      </c>
    </row>
    <row r="71" spans="1:8">
      <c r="A71" s="89">
        <v>44771</v>
      </c>
      <c r="B71" t="s">
        <v>90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118</v>
      </c>
    </row>
    <row r="72" spans="1:8">
      <c r="A72" s="89">
        <v>44772</v>
      </c>
      <c r="B72" t="s">
        <v>68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118</v>
      </c>
    </row>
    <row r="73" spans="1:8">
      <c r="A73" s="89">
        <v>44778</v>
      </c>
      <c r="B73" t="s">
        <v>64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116</v>
      </c>
    </row>
    <row r="74" spans="1:8">
      <c r="A74" s="89">
        <v>44779</v>
      </c>
      <c r="B74" t="s">
        <v>34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117</v>
      </c>
    </row>
    <row r="75" spans="1:8">
      <c r="A75" s="89">
        <v>44780</v>
      </c>
      <c r="B75" t="s">
        <v>108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118</v>
      </c>
    </row>
    <row r="76" spans="1:8">
      <c r="A76" s="89">
        <v>44781</v>
      </c>
      <c r="B76" t="s">
        <v>99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119</v>
      </c>
    </row>
    <row r="77" spans="1:8">
      <c r="A77" s="89">
        <v>44782</v>
      </c>
      <c r="B77" t="s">
        <v>90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119</v>
      </c>
    </row>
    <row r="78" spans="1:8">
      <c r="A78" s="89">
        <v>44783</v>
      </c>
      <c r="B78" t="s">
        <v>50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119</v>
      </c>
    </row>
    <row r="79" spans="1:8">
      <c r="A79" s="89">
        <v>44784</v>
      </c>
      <c r="B79" t="s">
        <v>67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117</v>
      </c>
    </row>
    <row r="80" spans="1:8">
      <c r="A80" s="89">
        <v>44785</v>
      </c>
      <c r="B80" t="s">
        <v>60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116</v>
      </c>
    </row>
    <row r="81" spans="1:8">
      <c r="A81" s="89">
        <v>44786</v>
      </c>
      <c r="B81" t="s">
        <v>57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119</v>
      </c>
    </row>
    <row r="82" spans="1:8">
      <c r="A82" s="89">
        <v>44787</v>
      </c>
      <c r="B82" t="s">
        <v>87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118</v>
      </c>
    </row>
    <row r="83" spans="1:8">
      <c r="A83" s="89">
        <v>44788</v>
      </c>
      <c r="B83" t="s">
        <v>42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118</v>
      </c>
    </row>
    <row r="84" spans="1:8">
      <c r="A84" s="89">
        <v>44809</v>
      </c>
      <c r="B84" t="s">
        <v>99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119</v>
      </c>
    </row>
    <row r="85" spans="1:8">
      <c r="A85" s="89">
        <v>44810</v>
      </c>
      <c r="B85" t="s">
        <v>42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115</v>
      </c>
    </row>
    <row r="86" spans="1:8">
      <c r="A86" s="89">
        <v>44811</v>
      </c>
      <c r="B86" t="s">
        <v>51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116</v>
      </c>
    </row>
    <row r="87" spans="1:8">
      <c r="A87" s="89">
        <v>44812</v>
      </c>
      <c r="B87" t="s">
        <v>92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117</v>
      </c>
    </row>
    <row r="88" spans="1:8">
      <c r="A88" s="89">
        <v>44813</v>
      </c>
      <c r="B88" t="s">
        <v>53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119</v>
      </c>
    </row>
    <row r="89" spans="1:8">
      <c r="A89" s="89">
        <v>44814</v>
      </c>
      <c r="B89" t="s">
        <v>64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117</v>
      </c>
    </row>
    <row r="90" spans="1:8">
      <c r="A90" s="89">
        <v>44815</v>
      </c>
      <c r="B90" t="s">
        <v>38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118</v>
      </c>
    </row>
    <row r="91" spans="1:8">
      <c r="A91" s="89">
        <v>44816</v>
      </c>
      <c r="B91" t="s">
        <v>91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115</v>
      </c>
    </row>
    <row r="92" spans="1:8">
      <c r="A92" s="89">
        <v>44817</v>
      </c>
      <c r="B92" t="s">
        <v>107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118</v>
      </c>
    </row>
    <row r="93" spans="1:8">
      <c r="A93" s="89">
        <v>44818</v>
      </c>
      <c r="B93" t="s">
        <v>52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119</v>
      </c>
    </row>
    <row r="94" spans="1:8">
      <c r="A94" s="89">
        <v>44819</v>
      </c>
      <c r="B94" t="s">
        <v>49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115</v>
      </c>
    </row>
    <row r="95" spans="1:8">
      <c r="A95" s="89">
        <v>44839</v>
      </c>
      <c r="B95" t="s">
        <v>85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119</v>
      </c>
    </row>
    <row r="96" spans="1:8">
      <c r="A96" s="89">
        <v>44840</v>
      </c>
      <c r="B96" t="s">
        <v>44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115</v>
      </c>
    </row>
    <row r="97" spans="1:8">
      <c r="A97" s="89">
        <v>44841</v>
      </c>
      <c r="B97" t="s">
        <v>34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116</v>
      </c>
    </row>
    <row r="98" spans="1:8">
      <c r="A98" s="89">
        <v>44842</v>
      </c>
      <c r="B98" t="s">
        <v>36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118</v>
      </c>
    </row>
    <row r="99" spans="1:8">
      <c r="A99" s="89">
        <v>44843</v>
      </c>
      <c r="B99" t="s">
        <v>94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118</v>
      </c>
    </row>
    <row r="100" spans="1:8">
      <c r="A100" s="89">
        <v>44844</v>
      </c>
      <c r="B100" t="s">
        <v>57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115</v>
      </c>
    </row>
    <row r="101" spans="1:8">
      <c r="A101" s="89">
        <v>44845</v>
      </c>
      <c r="B101" t="s">
        <v>100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117</v>
      </c>
    </row>
    <row r="102" spans="1:8">
      <c r="A102" s="89">
        <v>44846</v>
      </c>
      <c r="B102" t="s">
        <v>46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118</v>
      </c>
    </row>
    <row r="103" spans="1:8">
      <c r="A103" s="89">
        <v>44847</v>
      </c>
      <c r="B103" t="s">
        <v>98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119</v>
      </c>
    </row>
    <row r="104" spans="1:8">
      <c r="A104" s="89">
        <v>44848</v>
      </c>
      <c r="B104" t="s">
        <v>91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119</v>
      </c>
    </row>
    <row r="105" spans="1:8">
      <c r="A105" s="89">
        <v>44849</v>
      </c>
      <c r="B105" t="s">
        <v>63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116</v>
      </c>
    </row>
    <row r="106" spans="1:8">
      <c r="A106" s="89">
        <v>44870</v>
      </c>
      <c r="B106" t="s">
        <v>70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116</v>
      </c>
    </row>
    <row r="107" spans="1:8">
      <c r="A107" s="89">
        <v>44871</v>
      </c>
      <c r="B107" t="s">
        <v>48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119</v>
      </c>
    </row>
    <row r="108" spans="1:8">
      <c r="A108" s="89">
        <v>44872</v>
      </c>
      <c r="B108" t="s">
        <v>47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117</v>
      </c>
    </row>
    <row r="109" spans="1:8">
      <c r="A109" s="89">
        <v>44873</v>
      </c>
      <c r="B109" t="s">
        <v>90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116</v>
      </c>
    </row>
    <row r="110" spans="1:8">
      <c r="A110" s="89">
        <v>44874</v>
      </c>
      <c r="B110" t="s">
        <v>104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117</v>
      </c>
    </row>
    <row r="111" spans="1:8">
      <c r="A111" s="89">
        <v>44875</v>
      </c>
      <c r="B111" t="s">
        <v>70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117</v>
      </c>
    </row>
    <row r="112" spans="1:8">
      <c r="A112" s="89">
        <v>44876</v>
      </c>
      <c r="B112" t="s">
        <v>105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118</v>
      </c>
    </row>
    <row r="113" spans="1:8">
      <c r="A113" s="89">
        <v>44877</v>
      </c>
      <c r="B113" t="s">
        <v>50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118</v>
      </c>
    </row>
    <row r="114" spans="1:8">
      <c r="A114" s="89">
        <v>44878</v>
      </c>
      <c r="B114" t="s">
        <v>59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117</v>
      </c>
    </row>
    <row r="115" spans="1:8">
      <c r="A115" s="89">
        <v>44879</v>
      </c>
      <c r="B115" t="s">
        <v>45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116</v>
      </c>
    </row>
    <row r="116" spans="1:8">
      <c r="A116" s="89">
        <v>44880</v>
      </c>
      <c r="B116" t="s">
        <v>102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116</v>
      </c>
    </row>
    <row r="117" spans="1:8">
      <c r="A117" s="89">
        <v>44900</v>
      </c>
      <c r="B117" t="s">
        <v>91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118</v>
      </c>
    </row>
    <row r="118" spans="1:8">
      <c r="A118" s="89">
        <v>44901</v>
      </c>
      <c r="B118" t="s">
        <v>47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117</v>
      </c>
    </row>
    <row r="119" spans="1:8">
      <c r="A119" s="89">
        <v>44902</v>
      </c>
      <c r="B119" t="s">
        <v>63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116</v>
      </c>
    </row>
    <row r="120" spans="1:8">
      <c r="A120" s="89">
        <v>44903</v>
      </c>
      <c r="B120" t="s">
        <v>36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119</v>
      </c>
    </row>
    <row r="121" spans="1:8">
      <c r="A121" s="89">
        <v>44904</v>
      </c>
      <c r="B121" t="s">
        <v>92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115</v>
      </c>
    </row>
    <row r="122" spans="1:8">
      <c r="A122" s="89">
        <v>44905</v>
      </c>
      <c r="B122" t="s">
        <v>52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119</v>
      </c>
    </row>
    <row r="123" spans="1:8">
      <c r="A123" s="89">
        <v>44906</v>
      </c>
      <c r="B123" t="s">
        <v>111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119</v>
      </c>
    </row>
    <row r="124" spans="1:8">
      <c r="A124" s="89">
        <v>44907</v>
      </c>
      <c r="B124" t="s">
        <v>32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116</v>
      </c>
    </row>
    <row r="125" spans="1:8">
      <c r="A125" s="89">
        <v>44908</v>
      </c>
      <c r="B125" t="s">
        <v>43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117</v>
      </c>
    </row>
    <row r="126" spans="1:8">
      <c r="A126" s="89">
        <v>44909</v>
      </c>
      <c r="B126" t="s">
        <v>92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116</v>
      </c>
    </row>
    <row r="127" spans="1:8">
      <c r="A127" s="89">
        <v>44910</v>
      </c>
      <c r="B127" t="s">
        <v>65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118</v>
      </c>
    </row>
    <row r="128" spans="1:8">
      <c r="A128" s="89">
        <v>44201</v>
      </c>
      <c r="B128" t="s">
        <v>108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115</v>
      </c>
    </row>
    <row r="129" spans="1:8">
      <c r="A129" s="89">
        <v>44202</v>
      </c>
      <c r="B129" t="s">
        <v>86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115</v>
      </c>
    </row>
    <row r="130" spans="1:8">
      <c r="A130" s="89">
        <v>44203</v>
      </c>
      <c r="B130" t="s">
        <v>66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119</v>
      </c>
    </row>
    <row r="131" spans="1:8">
      <c r="A131" s="89">
        <v>44208</v>
      </c>
      <c r="B131" t="s">
        <v>94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117</v>
      </c>
    </row>
    <row r="132" spans="1:8">
      <c r="A132" s="89">
        <v>44209</v>
      </c>
      <c r="B132" t="s">
        <v>43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118</v>
      </c>
    </row>
    <row r="133" spans="1:8">
      <c r="A133" s="89">
        <v>44213</v>
      </c>
      <c r="B133" t="s">
        <v>36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115</v>
      </c>
    </row>
    <row r="134" spans="1:8">
      <c r="A134" s="89">
        <v>44219</v>
      </c>
      <c r="B134" t="s">
        <v>66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117</v>
      </c>
    </row>
    <row r="135" spans="1:8">
      <c r="A135" s="89">
        <v>44222</v>
      </c>
      <c r="B135" t="s">
        <v>105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117</v>
      </c>
    </row>
    <row r="136" spans="1:8">
      <c r="A136" s="89">
        <v>44224</v>
      </c>
      <c r="B136" t="s">
        <v>37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116</v>
      </c>
    </row>
    <row r="137" spans="1:8">
      <c r="A137" s="89">
        <v>44225</v>
      </c>
      <c r="B137" t="s">
        <v>50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119</v>
      </c>
    </row>
    <row r="138" spans="1:8">
      <c r="A138" s="89">
        <v>44226</v>
      </c>
      <c r="B138" t="s">
        <v>55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118</v>
      </c>
    </row>
    <row r="139" spans="1:8">
      <c r="A139" s="89">
        <v>44230</v>
      </c>
      <c r="B139" t="s">
        <v>45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116</v>
      </c>
    </row>
    <row r="140" spans="1:8">
      <c r="A140" s="89">
        <v>44232</v>
      </c>
      <c r="B140" t="s">
        <v>54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118</v>
      </c>
    </row>
    <row r="141" spans="1:8">
      <c r="A141" s="89">
        <v>44245</v>
      </c>
      <c r="B141" t="s">
        <v>43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119</v>
      </c>
    </row>
    <row r="142" spans="1:8">
      <c r="A142" s="89">
        <v>44248</v>
      </c>
      <c r="B142" t="s">
        <v>51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118</v>
      </c>
    </row>
    <row r="143" spans="1:8">
      <c r="A143" s="89">
        <v>44251</v>
      </c>
      <c r="B143" t="s">
        <v>47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118</v>
      </c>
    </row>
    <row r="144" spans="1:8">
      <c r="A144" s="89">
        <v>44252</v>
      </c>
      <c r="B144" t="s">
        <v>99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118</v>
      </c>
    </row>
    <row r="145" spans="1:8">
      <c r="A145" s="89">
        <v>44253</v>
      </c>
      <c r="B145" t="s">
        <v>44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119</v>
      </c>
    </row>
    <row r="146" spans="1:8">
      <c r="A146" s="89">
        <v>44256</v>
      </c>
      <c r="B146" t="s">
        <v>33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116</v>
      </c>
    </row>
    <row r="147" spans="1:8">
      <c r="A147" s="89">
        <v>44256</v>
      </c>
      <c r="B147" t="s">
        <v>36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118</v>
      </c>
    </row>
    <row r="148" spans="1:8">
      <c r="A148" s="89">
        <v>44257</v>
      </c>
      <c r="B148" t="s">
        <v>38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117</v>
      </c>
    </row>
    <row r="149" spans="1:8">
      <c r="A149" s="89">
        <v>44258</v>
      </c>
      <c r="B149" t="s">
        <v>102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115</v>
      </c>
    </row>
    <row r="150" spans="1:8">
      <c r="A150" s="89">
        <v>44259</v>
      </c>
      <c r="B150" t="s">
        <v>44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117</v>
      </c>
    </row>
    <row r="151" spans="1:8">
      <c r="A151" s="89">
        <v>44264</v>
      </c>
      <c r="B151" t="s">
        <v>99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115</v>
      </c>
    </row>
    <row r="152" spans="1:8">
      <c r="A152" s="89">
        <v>44269</v>
      </c>
      <c r="B152" t="s">
        <v>40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115</v>
      </c>
    </row>
    <row r="153" spans="1:8">
      <c r="A153" s="89">
        <v>44274</v>
      </c>
      <c r="B153" t="s">
        <v>44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118</v>
      </c>
    </row>
    <row r="154" spans="1:8">
      <c r="A154" s="89">
        <v>44276</v>
      </c>
      <c r="B154" t="s">
        <v>43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117</v>
      </c>
    </row>
    <row r="155" spans="1:8">
      <c r="A155" s="89">
        <v>44280</v>
      </c>
      <c r="B155" t="s">
        <v>54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119</v>
      </c>
    </row>
    <row r="156" spans="1:8">
      <c r="A156" s="89">
        <v>44288</v>
      </c>
      <c r="B156" t="s">
        <v>54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116</v>
      </c>
    </row>
    <row r="157" spans="1:8">
      <c r="A157" s="89">
        <v>44290</v>
      </c>
      <c r="B157" t="s">
        <v>48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119</v>
      </c>
    </row>
    <row r="158" spans="1:8">
      <c r="A158" s="89">
        <v>44294</v>
      </c>
      <c r="B158" t="s">
        <v>88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116</v>
      </c>
    </row>
    <row r="159" spans="1:8">
      <c r="A159" s="89">
        <v>44297</v>
      </c>
      <c r="B159" t="s">
        <v>70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119</v>
      </c>
    </row>
    <row r="160" spans="1:8">
      <c r="A160" s="89">
        <v>44298</v>
      </c>
      <c r="B160" t="s">
        <v>34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116</v>
      </c>
    </row>
    <row r="161" spans="1:8">
      <c r="A161" s="89">
        <v>44299</v>
      </c>
      <c r="B161" t="s">
        <v>104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115</v>
      </c>
    </row>
    <row r="162" spans="1:8">
      <c r="A162" s="89">
        <v>44301</v>
      </c>
      <c r="B162" t="s">
        <v>38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119</v>
      </c>
    </row>
    <row r="163" spans="1:8">
      <c r="A163" s="89">
        <v>44308</v>
      </c>
      <c r="B163" t="s">
        <v>68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117</v>
      </c>
    </row>
    <row r="164" spans="1:8">
      <c r="A164" s="89">
        <v>44309</v>
      </c>
      <c r="B164" t="s">
        <v>90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116</v>
      </c>
    </row>
    <row r="165" spans="1:8">
      <c r="A165" s="89">
        <v>44312</v>
      </c>
      <c r="B165" t="s">
        <v>102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116</v>
      </c>
    </row>
    <row r="166" spans="1:8">
      <c r="A166" s="89">
        <v>44313</v>
      </c>
      <c r="B166" t="s">
        <v>44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119</v>
      </c>
    </row>
    <row r="167" spans="1:8">
      <c r="A167" s="89">
        <v>44324</v>
      </c>
      <c r="B167" t="s">
        <v>103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116</v>
      </c>
    </row>
    <row r="168" spans="1:8">
      <c r="A168" s="89">
        <v>44325</v>
      </c>
      <c r="B168" t="s">
        <v>66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118</v>
      </c>
    </row>
    <row r="169" spans="1:8">
      <c r="A169" s="89">
        <v>44326</v>
      </c>
      <c r="B169" t="s">
        <v>36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118</v>
      </c>
    </row>
    <row r="170" spans="1:8">
      <c r="A170" s="89">
        <v>44327</v>
      </c>
      <c r="B170" t="s">
        <v>70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119</v>
      </c>
    </row>
    <row r="171" spans="1:8">
      <c r="A171" s="89">
        <v>44328</v>
      </c>
      <c r="B171" t="s">
        <v>96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119</v>
      </c>
    </row>
    <row r="172" spans="1:8">
      <c r="A172" s="89">
        <v>44331</v>
      </c>
      <c r="B172" t="s">
        <v>56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116</v>
      </c>
    </row>
    <row r="173" spans="1:8">
      <c r="A173" s="89">
        <v>44334</v>
      </c>
      <c r="B173" t="s">
        <v>62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118</v>
      </c>
    </row>
    <row r="174" spans="1:8">
      <c r="A174" s="89">
        <v>44354</v>
      </c>
      <c r="B174" t="s">
        <v>63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116</v>
      </c>
    </row>
    <row r="175" spans="1:8">
      <c r="A175" s="89">
        <v>44354</v>
      </c>
      <c r="B175" t="s">
        <v>42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115</v>
      </c>
    </row>
    <row r="176" spans="1:8">
      <c r="A176" s="89">
        <v>44356</v>
      </c>
      <c r="B176" t="s">
        <v>68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118</v>
      </c>
    </row>
    <row r="177" spans="1:8">
      <c r="A177" s="89">
        <v>44356</v>
      </c>
      <c r="B177" t="s">
        <v>103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118</v>
      </c>
    </row>
    <row r="178" spans="1:8">
      <c r="A178" s="89">
        <v>44358</v>
      </c>
      <c r="B178" t="s">
        <v>105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116</v>
      </c>
    </row>
    <row r="179" spans="1:8">
      <c r="A179" s="89">
        <v>44360</v>
      </c>
      <c r="B179" t="s">
        <v>66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116</v>
      </c>
    </row>
    <row r="180" spans="1:8">
      <c r="A180" s="89">
        <v>44363</v>
      </c>
      <c r="B180" t="s">
        <v>48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118</v>
      </c>
    </row>
    <row r="181" spans="1:8">
      <c r="A181" s="89">
        <v>44363</v>
      </c>
      <c r="B181" t="s">
        <v>100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116</v>
      </c>
    </row>
    <row r="182" spans="1:8">
      <c r="A182" s="89">
        <v>44364</v>
      </c>
      <c r="B182" t="s">
        <v>57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115</v>
      </c>
    </row>
    <row r="183" spans="1:8">
      <c r="A183" s="89">
        <v>44367</v>
      </c>
      <c r="B183" t="s">
        <v>102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116</v>
      </c>
    </row>
    <row r="184" spans="1:8">
      <c r="A184" s="89">
        <v>44375</v>
      </c>
      <c r="B184" t="s">
        <v>112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115</v>
      </c>
    </row>
    <row r="185" spans="1:8">
      <c r="A185" s="89">
        <v>44375</v>
      </c>
      <c r="B185" t="s">
        <v>48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115</v>
      </c>
    </row>
    <row r="186" spans="1:8">
      <c r="A186" s="89">
        <v>44376</v>
      </c>
      <c r="B186" t="s">
        <v>37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118</v>
      </c>
    </row>
    <row r="187" spans="1:8">
      <c r="A187" s="89">
        <v>44377</v>
      </c>
      <c r="B187" t="s">
        <v>70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119</v>
      </c>
    </row>
    <row r="188" spans="1:8">
      <c r="A188" s="89">
        <v>44382</v>
      </c>
      <c r="B188" t="s">
        <v>94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115</v>
      </c>
    </row>
    <row r="189" spans="1:8">
      <c r="A189" s="89">
        <v>44383</v>
      </c>
      <c r="B189" t="s">
        <v>37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116</v>
      </c>
    </row>
    <row r="190" spans="1:8">
      <c r="A190" s="89">
        <v>44384</v>
      </c>
      <c r="B190" t="s">
        <v>66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117</v>
      </c>
    </row>
    <row r="191" spans="1:8">
      <c r="A191" s="89">
        <v>44389</v>
      </c>
      <c r="B191" t="s">
        <v>88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119</v>
      </c>
    </row>
    <row r="192" spans="1:8">
      <c r="A192" s="89">
        <v>44390</v>
      </c>
      <c r="B192" t="s">
        <v>70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119</v>
      </c>
    </row>
    <row r="193" spans="1:8">
      <c r="A193" s="89">
        <v>44394</v>
      </c>
      <c r="B193" t="s">
        <v>63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116</v>
      </c>
    </row>
    <row r="194" spans="1:8">
      <c r="A194" s="89">
        <v>44400</v>
      </c>
      <c r="B194" t="s">
        <v>55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117</v>
      </c>
    </row>
    <row r="195" spans="1:8">
      <c r="A195" s="89">
        <v>44403</v>
      </c>
      <c r="B195" t="s">
        <v>98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119</v>
      </c>
    </row>
    <row r="196" spans="1:8">
      <c r="A196" s="89">
        <v>44405</v>
      </c>
      <c r="B196" t="s">
        <v>104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115</v>
      </c>
    </row>
    <row r="197" spans="1:8">
      <c r="A197" s="89">
        <v>44406</v>
      </c>
      <c r="B197" t="s">
        <v>63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117</v>
      </c>
    </row>
    <row r="198" spans="1:8">
      <c r="A198" s="89">
        <v>44407</v>
      </c>
      <c r="B198" t="s">
        <v>102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116</v>
      </c>
    </row>
    <row r="199" spans="1:8">
      <c r="A199" s="89">
        <v>44413</v>
      </c>
      <c r="B199" t="s">
        <v>66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117</v>
      </c>
    </row>
    <row r="200" spans="1:8">
      <c r="A200" s="89">
        <v>44414</v>
      </c>
      <c r="B200" t="s">
        <v>94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116</v>
      </c>
    </row>
    <row r="201" spans="1:8">
      <c r="A201" s="89">
        <v>44415</v>
      </c>
      <c r="B201" t="s">
        <v>59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119</v>
      </c>
    </row>
    <row r="202" spans="1:8">
      <c r="A202" s="89">
        <v>44416</v>
      </c>
      <c r="B202" t="s">
        <v>111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119</v>
      </c>
    </row>
    <row r="203" spans="1:8">
      <c r="A203" s="89">
        <v>44417</v>
      </c>
      <c r="B203" t="s">
        <v>44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115</v>
      </c>
    </row>
    <row r="204" spans="1:8">
      <c r="A204" s="89">
        <v>44418</v>
      </c>
      <c r="B204" t="s">
        <v>94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117</v>
      </c>
    </row>
    <row r="205" spans="1:8">
      <c r="A205" s="89">
        <v>44419</v>
      </c>
      <c r="B205" t="s">
        <v>66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116</v>
      </c>
    </row>
    <row r="206" spans="1:8">
      <c r="A206" s="89">
        <v>44420</v>
      </c>
      <c r="B206" t="s">
        <v>105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119</v>
      </c>
    </row>
    <row r="207" spans="1:8">
      <c r="A207" s="89">
        <v>44421</v>
      </c>
      <c r="B207" t="s">
        <v>96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115</v>
      </c>
    </row>
    <row r="208" spans="1:8">
      <c r="A208" s="89">
        <v>44422</v>
      </c>
      <c r="B208" t="s">
        <v>62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119</v>
      </c>
    </row>
    <row r="209" spans="1:8">
      <c r="A209" s="89">
        <v>44423</v>
      </c>
      <c r="B209" t="s">
        <v>39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117</v>
      </c>
    </row>
    <row r="210" spans="1:8">
      <c r="A210" s="89">
        <v>44444</v>
      </c>
      <c r="B210" t="s">
        <v>46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119</v>
      </c>
    </row>
    <row r="211" spans="1:8">
      <c r="A211" s="89">
        <v>44445</v>
      </c>
      <c r="B211" t="s">
        <v>91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119</v>
      </c>
    </row>
    <row r="212" spans="1:8">
      <c r="A212" s="89">
        <v>44446</v>
      </c>
      <c r="B212" t="s">
        <v>67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116</v>
      </c>
    </row>
    <row r="213" spans="1:8">
      <c r="A213" s="89">
        <v>44447</v>
      </c>
      <c r="B213" t="s">
        <v>63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119</v>
      </c>
    </row>
    <row r="214" spans="1:8">
      <c r="A214" s="89">
        <v>44448</v>
      </c>
      <c r="B214" t="s">
        <v>96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118</v>
      </c>
    </row>
    <row r="215" spans="1:8">
      <c r="A215" s="89">
        <v>44449</v>
      </c>
      <c r="B215" t="s">
        <v>51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119</v>
      </c>
    </row>
    <row r="216" spans="1:8">
      <c r="A216" s="89">
        <v>44450</v>
      </c>
      <c r="B216" t="s">
        <v>34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118</v>
      </c>
    </row>
    <row r="217" spans="1:8">
      <c r="A217" s="89">
        <v>44451</v>
      </c>
      <c r="B217" t="s">
        <v>99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115</v>
      </c>
    </row>
    <row r="218" spans="1:8">
      <c r="A218" s="89">
        <v>44452</v>
      </c>
      <c r="B218" t="s">
        <v>33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115</v>
      </c>
    </row>
    <row r="219" spans="1:8">
      <c r="A219" s="89">
        <v>44453</v>
      </c>
      <c r="B219" t="s">
        <v>69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119</v>
      </c>
    </row>
    <row r="220" spans="1:8">
      <c r="A220" s="89">
        <v>44454</v>
      </c>
      <c r="B220" t="s">
        <v>36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117</v>
      </c>
    </row>
    <row r="221" spans="1:8">
      <c r="A221" s="89">
        <v>44474</v>
      </c>
      <c r="B221" t="s">
        <v>102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117</v>
      </c>
    </row>
    <row r="222" spans="1:8">
      <c r="A222" s="89">
        <v>44475</v>
      </c>
      <c r="B222" t="s">
        <v>92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117</v>
      </c>
    </row>
    <row r="223" spans="1:8">
      <c r="A223" s="89">
        <v>44476</v>
      </c>
      <c r="B223" t="s">
        <v>32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118</v>
      </c>
    </row>
    <row r="224" spans="1:8">
      <c r="A224" s="89">
        <v>44477</v>
      </c>
      <c r="B224" t="s">
        <v>55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117</v>
      </c>
    </row>
    <row r="225" spans="1:8">
      <c r="A225" s="89">
        <v>44478</v>
      </c>
      <c r="B225" t="s">
        <v>42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115</v>
      </c>
    </row>
    <row r="226" spans="1:8">
      <c r="A226" s="89">
        <v>44479</v>
      </c>
      <c r="B226" t="s">
        <v>107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117</v>
      </c>
    </row>
    <row r="227" spans="1:8">
      <c r="A227" s="89">
        <v>44480</v>
      </c>
      <c r="B227" t="s">
        <v>69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115</v>
      </c>
    </row>
    <row r="228" spans="1:8">
      <c r="A228" s="89">
        <v>44481</v>
      </c>
      <c r="B228" t="s">
        <v>90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117</v>
      </c>
    </row>
    <row r="229" spans="1:8">
      <c r="A229" s="89">
        <v>44482</v>
      </c>
      <c r="B229" t="s">
        <v>33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115</v>
      </c>
    </row>
    <row r="230" spans="1:8">
      <c r="A230" s="89">
        <v>44483</v>
      </c>
      <c r="B230" t="s">
        <v>41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115</v>
      </c>
    </row>
    <row r="231" spans="1:8">
      <c r="A231" s="89">
        <v>44484</v>
      </c>
      <c r="B231" t="s">
        <v>45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115</v>
      </c>
    </row>
    <row r="232" spans="1:8">
      <c r="A232" s="89">
        <v>44505</v>
      </c>
      <c r="B232" t="s">
        <v>91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115</v>
      </c>
    </row>
    <row r="233" spans="1:8">
      <c r="A233" s="89">
        <v>44506</v>
      </c>
      <c r="B233" t="s">
        <v>86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119</v>
      </c>
    </row>
    <row r="234" spans="1:8">
      <c r="A234" s="89">
        <v>44507</v>
      </c>
      <c r="B234" t="s">
        <v>91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118</v>
      </c>
    </row>
    <row r="235" spans="1:8">
      <c r="A235" s="89">
        <v>44508</v>
      </c>
      <c r="B235" t="s">
        <v>91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115</v>
      </c>
    </row>
    <row r="236" spans="1:8">
      <c r="A236" s="89">
        <v>44509</v>
      </c>
      <c r="B236" t="s">
        <v>39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119</v>
      </c>
    </row>
    <row r="237" spans="1:8">
      <c r="A237" s="89">
        <v>44510</v>
      </c>
      <c r="B237" t="s">
        <v>105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118</v>
      </c>
    </row>
    <row r="238" spans="1:8">
      <c r="A238" s="89">
        <v>44511</v>
      </c>
      <c r="B238" t="s">
        <v>85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116</v>
      </c>
    </row>
    <row r="239" spans="1:8">
      <c r="A239" s="89">
        <v>44512</v>
      </c>
      <c r="B239" t="s">
        <v>34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115</v>
      </c>
    </row>
    <row r="240" spans="1:8">
      <c r="A240" s="89">
        <v>44513</v>
      </c>
      <c r="B240" t="s">
        <v>39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116</v>
      </c>
    </row>
    <row r="241" spans="1:8">
      <c r="A241" s="89">
        <v>44514</v>
      </c>
      <c r="B241" t="s">
        <v>52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119</v>
      </c>
    </row>
    <row r="242" spans="1:8">
      <c r="A242" s="89">
        <v>44515</v>
      </c>
      <c r="B242" t="s">
        <v>99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117</v>
      </c>
    </row>
    <row r="243" spans="1:8">
      <c r="A243" s="89">
        <v>44535</v>
      </c>
      <c r="B243" t="s">
        <v>112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117</v>
      </c>
    </row>
    <row r="244" spans="1:8">
      <c r="A244" s="89">
        <v>44536</v>
      </c>
      <c r="B244" t="s">
        <v>96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116</v>
      </c>
    </row>
    <row r="245" spans="1:8">
      <c r="A245" s="89">
        <v>44537</v>
      </c>
      <c r="B245" t="s">
        <v>65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118</v>
      </c>
    </row>
    <row r="246" spans="1:8">
      <c r="A246" s="89">
        <v>44538</v>
      </c>
      <c r="B246" t="s">
        <v>63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119</v>
      </c>
    </row>
    <row r="247" spans="1:8">
      <c r="A247" s="89">
        <v>44539</v>
      </c>
      <c r="B247" t="s">
        <v>64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118</v>
      </c>
    </row>
    <row r="248" spans="1:8">
      <c r="A248" s="89">
        <v>44540</v>
      </c>
      <c r="B248" t="s">
        <v>33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119</v>
      </c>
    </row>
    <row r="249" spans="1:8">
      <c r="A249" s="89">
        <v>44541</v>
      </c>
      <c r="B249" t="s">
        <v>39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115</v>
      </c>
    </row>
    <row r="250" spans="1:8">
      <c r="A250" s="89">
        <v>44542</v>
      </c>
      <c r="B250" t="s">
        <v>107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115</v>
      </c>
    </row>
    <row r="251" spans="1:8">
      <c r="A251" s="89">
        <v>44543</v>
      </c>
      <c r="B251" t="s">
        <v>90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116</v>
      </c>
    </row>
    <row r="252" spans="1:8">
      <c r="A252" s="89">
        <v>44544</v>
      </c>
      <c r="B252" t="s">
        <v>33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118</v>
      </c>
    </row>
    <row r="253" spans="1:8">
      <c r="A253" s="89">
        <v>44545</v>
      </c>
      <c r="B253" t="s">
        <v>92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B4557-95D0-4F83-8F81-2CF0ED897950}">
  <sheetPr codeName="Planilha14">
    <tabColor rgb="FFFF0000"/>
  </sheetPr>
  <dimension ref="A3:K16"/>
  <sheetViews>
    <sheetView workbookViewId="0">
      <selection activeCell="I26" sqref="I26"/>
    </sheetView>
  </sheetViews>
  <sheetFormatPr defaultRowHeight="14.5"/>
  <cols>
    <col min="1" max="1" width="17" bestFit="1" customWidth="1"/>
    <col min="2" max="2" width="12.7265625" bestFit="1" customWidth="1"/>
    <col min="3" max="3" width="11.6328125" bestFit="1" customWidth="1"/>
    <col min="4" max="4" width="12.453125" bestFit="1" customWidth="1"/>
    <col min="5" max="5" width="17" bestFit="1" customWidth="1"/>
    <col min="6" max="6" width="13.81640625" bestFit="1" customWidth="1"/>
    <col min="7" max="7" width="12.453125" bestFit="1" customWidth="1"/>
    <col min="8" max="8" width="11.1796875" bestFit="1" customWidth="1"/>
    <col min="9" max="21" width="12.26953125" customWidth="1"/>
    <col min="22" max="48" width="12.26953125" bestFit="1" customWidth="1"/>
    <col min="49" max="49" width="1.81640625" bestFit="1" customWidth="1"/>
    <col min="50" max="53" width="12.26953125" bestFit="1" customWidth="1"/>
    <col min="54" max="54" width="2.81640625" bestFit="1" customWidth="1"/>
    <col min="55" max="57" width="12.26953125" bestFit="1" customWidth="1"/>
    <col min="58" max="58" width="2.81640625" bestFit="1" customWidth="1"/>
    <col min="59" max="145" width="12.26953125" bestFit="1" customWidth="1"/>
    <col min="146" max="146" width="1.81640625" bestFit="1" customWidth="1"/>
    <col min="147" max="173" width="12.26953125" bestFit="1" customWidth="1"/>
    <col min="174" max="174" width="2.81640625" bestFit="1" customWidth="1"/>
    <col min="175" max="175" width="12.26953125" bestFit="1" customWidth="1"/>
    <col min="176" max="176" width="2.81640625" bestFit="1" customWidth="1"/>
    <col min="177" max="179" width="12.26953125" bestFit="1" customWidth="1"/>
    <col min="180" max="180" width="1.81640625" bestFit="1" customWidth="1"/>
    <col min="181" max="183" width="12.26953125" bestFit="1" customWidth="1"/>
    <col min="184" max="184" width="2.81640625" bestFit="1" customWidth="1"/>
    <col min="185" max="252" width="12.26953125" bestFit="1" customWidth="1"/>
    <col min="253" max="253" width="10" bestFit="1" customWidth="1"/>
  </cols>
  <sheetData>
    <row r="3" spans="1:11">
      <c r="A3" s="79" t="s">
        <v>166</v>
      </c>
      <c r="B3" t="s">
        <v>180</v>
      </c>
      <c r="C3" t="s">
        <v>170</v>
      </c>
      <c r="E3" s="79" t="s">
        <v>166</v>
      </c>
      <c r="F3" t="s">
        <v>170</v>
      </c>
      <c r="G3" t="s">
        <v>190</v>
      </c>
      <c r="H3" t="s">
        <v>83</v>
      </c>
      <c r="J3" s="140" t="s">
        <v>189</v>
      </c>
      <c r="K3" s="140"/>
    </row>
    <row r="4" spans="1:11">
      <c r="A4" s="80" t="s">
        <v>172</v>
      </c>
      <c r="B4" s="86">
        <v>27065.5</v>
      </c>
      <c r="C4">
        <v>154</v>
      </c>
      <c r="E4" s="80" t="s">
        <v>13</v>
      </c>
      <c r="F4">
        <v>176</v>
      </c>
      <c r="G4" s="87">
        <v>0.15173704728715764</v>
      </c>
      <c r="H4" s="87">
        <v>0.84826295271284236</v>
      </c>
      <c r="J4" s="138" t="s">
        <v>188</v>
      </c>
      <c r="K4" s="138" t="s">
        <v>83</v>
      </c>
    </row>
    <row r="5" spans="1:11">
      <c r="A5" s="80" t="s">
        <v>173</v>
      </c>
      <c r="B5" s="86">
        <v>7502.6</v>
      </c>
      <c r="C5">
        <v>83</v>
      </c>
      <c r="E5" s="80" t="s">
        <v>14</v>
      </c>
      <c r="F5">
        <v>205</v>
      </c>
      <c r="G5" s="87">
        <v>0.19696868171254395</v>
      </c>
      <c r="H5" s="87">
        <v>0.803031318287456</v>
      </c>
      <c r="J5" s="138">
        <f>GETPIVOTDATA("[Measures].[% de Vendas2]",$E$3,"[TB_VendasHist].[Categoria]","[TB_VendasHist].[Categoria].&amp;[Acessórios]")</f>
        <v>0.15173704728715764</v>
      </c>
      <c r="K5" s="138">
        <f>GETPIVOTDATA("[Measures].[% Restante2]",$E$3,"[TB_VendasHist].[Categoria]","[TB_VendasHist].[Categoria].&amp;[Acessórios]")</f>
        <v>0.84826295271284236</v>
      </c>
    </row>
    <row r="6" spans="1:11">
      <c r="A6" s="80" t="s">
        <v>174</v>
      </c>
      <c r="B6" s="86">
        <v>7197.4</v>
      </c>
      <c r="C6">
        <v>114</v>
      </c>
      <c r="E6" s="80" t="s">
        <v>12</v>
      </c>
      <c r="F6">
        <v>1218</v>
      </c>
      <c r="G6" s="87">
        <v>0.65129427100029846</v>
      </c>
      <c r="H6" s="87">
        <v>0.34870572899970154</v>
      </c>
      <c r="J6" s="138">
        <f>GETPIVOTDATA("[Measures].[% de Vendas2]",$E$3,"[TB_VendasHist].[Categoria]","[TB_VendasHist].[Categoria].&amp;[Calçado]")</f>
        <v>0.19696868171254395</v>
      </c>
      <c r="K6" s="138">
        <f>GETPIVOTDATA("[Measures].[% Restante2]",$E$3,"[TB_VendasHist].[Categoria]","[TB_VendasHist].[Categoria].&amp;[Calçado]")</f>
        <v>0.803031318287456</v>
      </c>
    </row>
    <row r="7" spans="1:11">
      <c r="A7" s="80" t="s">
        <v>175</v>
      </c>
      <c r="B7" s="86">
        <v>17379.8</v>
      </c>
      <c r="C7">
        <v>146</v>
      </c>
      <c r="E7" s="80" t="s">
        <v>167</v>
      </c>
      <c r="F7">
        <v>1599</v>
      </c>
      <c r="G7" s="87">
        <v>1</v>
      </c>
      <c r="H7" s="87">
        <v>0</v>
      </c>
      <c r="J7" s="139">
        <f>GETPIVOTDATA("[Measures].[% de Vendas2]",$E$3,"[TB_VendasHist].[Categoria]","[TB_VendasHist].[Categoria].&amp;[Vestuário]")</f>
        <v>0.65129427100029846</v>
      </c>
      <c r="K7" s="139">
        <f>GETPIVOTDATA("[Measures].[% Restante2]",$E$3,"[TB_VendasHist].[Categoria]","[TB_VendasHist].[Categoria].&amp;[Vestuário]")</f>
        <v>0.34870572899970154</v>
      </c>
    </row>
    <row r="8" spans="1:11">
      <c r="A8" s="80" t="s">
        <v>176</v>
      </c>
      <c r="B8" s="86">
        <v>20685.5</v>
      </c>
      <c r="C8">
        <v>114</v>
      </c>
    </row>
    <row r="9" spans="1:11">
      <c r="A9" s="80" t="s">
        <v>177</v>
      </c>
      <c r="B9" s="86">
        <v>22586.3</v>
      </c>
      <c r="C9">
        <v>185</v>
      </c>
    </row>
    <row r="10" spans="1:11">
      <c r="A10" s="80" t="s">
        <v>178</v>
      </c>
      <c r="B10" s="86">
        <v>18730.099999999999</v>
      </c>
      <c r="C10">
        <v>133</v>
      </c>
      <c r="E10" s="79" t="s">
        <v>166</v>
      </c>
      <c r="F10" t="s">
        <v>180</v>
      </c>
    </row>
    <row r="11" spans="1:11">
      <c r="A11" s="80" t="s">
        <v>179</v>
      </c>
      <c r="B11" s="86">
        <v>21585.8</v>
      </c>
      <c r="C11">
        <v>147</v>
      </c>
      <c r="E11" s="80" t="s">
        <v>120</v>
      </c>
      <c r="F11" s="2">
        <v>37864</v>
      </c>
    </row>
    <row r="12" spans="1:11">
      <c r="A12" s="80" t="s">
        <v>182</v>
      </c>
      <c r="B12" s="86">
        <v>19851</v>
      </c>
      <c r="C12">
        <v>151</v>
      </c>
      <c r="E12" s="80" t="s">
        <v>121</v>
      </c>
      <c r="F12" s="2">
        <v>49213.9</v>
      </c>
    </row>
    <row r="13" spans="1:11">
      <c r="A13" s="80" t="s">
        <v>183</v>
      </c>
      <c r="B13" s="86">
        <v>15659.4</v>
      </c>
      <c r="C13">
        <v>151</v>
      </c>
      <c r="E13" s="80" t="s">
        <v>71</v>
      </c>
      <c r="F13" s="2">
        <v>36204.6</v>
      </c>
    </row>
    <row r="14" spans="1:11">
      <c r="A14" s="80" t="s">
        <v>184</v>
      </c>
      <c r="B14" s="86">
        <v>9455.2000000000007</v>
      </c>
      <c r="C14">
        <v>92</v>
      </c>
      <c r="E14" s="80" t="s">
        <v>72</v>
      </c>
      <c r="F14" s="2">
        <v>36468.6</v>
      </c>
    </row>
    <row r="15" spans="1:11">
      <c r="A15" s="80" t="s">
        <v>185</v>
      </c>
      <c r="B15" s="86">
        <v>19742.5</v>
      </c>
      <c r="C15">
        <v>129</v>
      </c>
      <c r="E15" s="80" t="s">
        <v>74</v>
      </c>
      <c r="F15" s="2">
        <v>47690</v>
      </c>
    </row>
    <row r="16" spans="1:11">
      <c r="A16" s="80" t="s">
        <v>167</v>
      </c>
      <c r="B16" s="86">
        <v>207441.1</v>
      </c>
      <c r="C16">
        <v>1599</v>
      </c>
      <c r="E16" s="80" t="s">
        <v>167</v>
      </c>
      <c r="F16" s="2">
        <v>207441.1</v>
      </c>
    </row>
  </sheetData>
  <mergeCells count="1">
    <mergeCell ref="J3:K3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2254D-329C-4DBF-8939-9FA9062B0E56}">
  <sheetPr codeName="Planilha16">
    <tabColor rgb="FFFF0000"/>
  </sheetPr>
  <dimension ref="C12:CB50"/>
  <sheetViews>
    <sheetView showGridLines="0" showRowColHeaders="0" tabSelected="1" topLeftCell="A2" zoomScale="115" zoomScaleNormal="115" workbookViewId="0">
      <selection activeCell="CH15" sqref="CH15:CH17"/>
    </sheetView>
  </sheetViews>
  <sheetFormatPr defaultColWidth="2" defaultRowHeight="9.75" customHeight="1"/>
  <cols>
    <col min="1" max="16384" width="2" style="6"/>
  </cols>
  <sheetData>
    <row r="12" spans="3:80" ht="9.75" customHeight="1" thickBot="1"/>
    <row r="13" spans="3:80" ht="9.75" customHeight="1">
      <c r="C13" s="100" t="s">
        <v>80</v>
      </c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1"/>
      <c r="BV13" s="101"/>
      <c r="BW13" s="101"/>
      <c r="BX13" s="101"/>
      <c r="BY13" s="101"/>
      <c r="BZ13" s="101"/>
      <c r="CA13" s="101"/>
      <c r="CB13" s="102"/>
    </row>
    <row r="14" spans="3:80" ht="9.75" customHeight="1" thickBot="1">
      <c r="C14" s="103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  <c r="BY14" s="104"/>
      <c r="BZ14" s="104"/>
      <c r="CA14" s="104"/>
      <c r="CB14" s="105"/>
    </row>
    <row r="15" spans="3:80" ht="9.75" customHeight="1">
      <c r="C15" s="124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5"/>
      <c r="BA15" s="125"/>
      <c r="BB15" s="125"/>
      <c r="BC15" s="125"/>
      <c r="BD15" s="125"/>
      <c r="BE15" s="125"/>
      <c r="BF15" s="125"/>
      <c r="BG15" s="125"/>
      <c r="BH15" s="125"/>
      <c r="BI15" s="125"/>
      <c r="BJ15" s="125"/>
      <c r="BK15" s="125"/>
      <c r="BL15" s="125"/>
      <c r="BM15" s="125"/>
      <c r="BN15" s="125"/>
      <c r="BO15" s="125"/>
      <c r="BP15" s="125"/>
      <c r="BQ15" s="125"/>
      <c r="BR15" s="125"/>
      <c r="BS15" s="125"/>
      <c r="BT15" s="125"/>
      <c r="BU15" s="125"/>
      <c r="BV15" s="125"/>
      <c r="BW15" s="125"/>
      <c r="BX15" s="125"/>
      <c r="BY15" s="125"/>
      <c r="BZ15" s="125"/>
      <c r="CA15" s="125"/>
      <c r="CB15" s="126"/>
    </row>
    <row r="16" spans="3:80" ht="9.75" customHeight="1">
      <c r="C16" s="127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9"/>
    </row>
    <row r="17" spans="3:80" ht="9.75" customHeight="1">
      <c r="C17" s="127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/>
      <c r="AX17" s="128"/>
      <c r="AY17" s="128"/>
      <c r="AZ17" s="128"/>
      <c r="BA17" s="128"/>
      <c r="BB17" s="128"/>
      <c r="BC17" s="128"/>
      <c r="BD17" s="128"/>
      <c r="BE17" s="128"/>
      <c r="BF17" s="128"/>
      <c r="BG17" s="128"/>
      <c r="BH17" s="128"/>
      <c r="BI17" s="128"/>
      <c r="BJ17" s="128"/>
      <c r="BK17" s="128"/>
      <c r="BL17" s="128"/>
      <c r="BM17" s="128"/>
      <c r="BN17" s="128"/>
      <c r="BO17" s="128"/>
      <c r="BP17" s="128"/>
      <c r="BQ17" s="128"/>
      <c r="BR17" s="128"/>
      <c r="BS17" s="128"/>
      <c r="BT17" s="128"/>
      <c r="BU17" s="128"/>
      <c r="BV17" s="128"/>
      <c r="BW17" s="128"/>
      <c r="BX17" s="128"/>
      <c r="BY17" s="128"/>
      <c r="BZ17" s="128"/>
      <c r="CA17" s="128"/>
      <c r="CB17" s="129"/>
    </row>
    <row r="18" spans="3:80" ht="9.75" customHeight="1">
      <c r="C18" s="127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  <c r="AY18" s="128"/>
      <c r="AZ18" s="128"/>
      <c r="BA18" s="128"/>
      <c r="BB18" s="128"/>
      <c r="BC18" s="128"/>
      <c r="BD18" s="128"/>
      <c r="BE18" s="128"/>
      <c r="BF18" s="128"/>
      <c r="BG18" s="128"/>
      <c r="BH18" s="128"/>
      <c r="BI18" s="128"/>
      <c r="BJ18" s="128"/>
      <c r="BK18" s="128"/>
      <c r="BL18" s="128"/>
      <c r="BM18" s="128"/>
      <c r="BN18" s="128"/>
      <c r="BO18" s="128"/>
      <c r="BP18" s="128"/>
      <c r="BQ18" s="128"/>
      <c r="BR18" s="128"/>
      <c r="BS18" s="128"/>
      <c r="BT18" s="128"/>
      <c r="BU18" s="128"/>
      <c r="BV18" s="128"/>
      <c r="BW18" s="128"/>
      <c r="BX18" s="128"/>
      <c r="BY18" s="128"/>
      <c r="BZ18" s="128"/>
      <c r="CA18" s="128"/>
      <c r="CB18" s="129"/>
    </row>
    <row r="19" spans="3:80" ht="9.75" customHeight="1">
      <c r="C19" s="127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  <c r="AM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/>
      <c r="AX19" s="128"/>
      <c r="AY19" s="128"/>
      <c r="AZ19" s="128"/>
      <c r="BA19" s="128"/>
      <c r="BB19" s="128"/>
      <c r="BC19" s="128"/>
      <c r="BD19" s="128"/>
      <c r="BE19" s="128"/>
      <c r="BF19" s="128"/>
      <c r="BG19" s="128"/>
      <c r="BH19" s="128"/>
      <c r="BI19" s="128"/>
      <c r="BJ19" s="128"/>
      <c r="BK19" s="128"/>
      <c r="BL19" s="128"/>
      <c r="BM19" s="128"/>
      <c r="BN19" s="128"/>
      <c r="BO19" s="128"/>
      <c r="BP19" s="128"/>
      <c r="BQ19" s="128"/>
      <c r="BR19" s="128"/>
      <c r="BS19" s="128"/>
      <c r="BT19" s="128"/>
      <c r="BU19" s="128"/>
      <c r="BV19" s="128"/>
      <c r="BW19" s="128"/>
      <c r="BX19" s="128"/>
      <c r="BY19" s="128"/>
      <c r="BZ19" s="128"/>
      <c r="CA19" s="128"/>
      <c r="CB19" s="129"/>
    </row>
    <row r="20" spans="3:80" ht="9.75" customHeight="1">
      <c r="C20" s="127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  <c r="AA20" s="128"/>
      <c r="AB20" s="128"/>
      <c r="AC20" s="128"/>
      <c r="AD20" s="128"/>
      <c r="AE20" s="128"/>
      <c r="AF20" s="128"/>
      <c r="AG20" s="128"/>
      <c r="AH20" s="128"/>
      <c r="AI20" s="128"/>
      <c r="AJ20" s="128"/>
      <c r="AK20" s="128"/>
      <c r="AL20" s="128"/>
      <c r="AM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8"/>
      <c r="BL20" s="128"/>
      <c r="BM20" s="128"/>
      <c r="BN20" s="128"/>
      <c r="BO20" s="128"/>
      <c r="BP20" s="128"/>
      <c r="BQ20" s="128"/>
      <c r="BR20" s="128"/>
      <c r="BS20" s="128"/>
      <c r="BT20" s="128"/>
      <c r="BU20" s="128"/>
      <c r="BV20" s="128"/>
      <c r="BW20" s="128"/>
      <c r="BX20" s="128"/>
      <c r="BY20" s="128"/>
      <c r="BZ20" s="128"/>
      <c r="CA20" s="128"/>
      <c r="CB20" s="129"/>
    </row>
    <row r="21" spans="3:80" ht="9.75" customHeight="1">
      <c r="C21" s="127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/>
      <c r="AX21" s="128"/>
      <c r="AY21" s="128"/>
      <c r="AZ21" s="128"/>
      <c r="BA21" s="128"/>
      <c r="BB21" s="128"/>
      <c r="BC21" s="128"/>
      <c r="BD21" s="128"/>
      <c r="BE21" s="128"/>
      <c r="BF21" s="128"/>
      <c r="BG21" s="128"/>
      <c r="BH21" s="128"/>
      <c r="BI21" s="128"/>
      <c r="BJ21" s="128"/>
      <c r="BK21" s="128"/>
      <c r="BL21" s="128"/>
      <c r="BM21" s="128"/>
      <c r="BN21" s="128"/>
      <c r="BO21" s="128"/>
      <c r="BP21" s="128"/>
      <c r="BQ21" s="128"/>
      <c r="BR21" s="128"/>
      <c r="BS21" s="128"/>
      <c r="BT21" s="128"/>
      <c r="BU21" s="128"/>
      <c r="BV21" s="128"/>
      <c r="BW21" s="128"/>
      <c r="BX21" s="128"/>
      <c r="BY21" s="128"/>
      <c r="BZ21" s="128"/>
      <c r="CA21" s="128"/>
      <c r="CB21" s="129"/>
    </row>
    <row r="22" spans="3:80" ht="9.75" customHeight="1">
      <c r="C22" s="127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/>
      <c r="AX22" s="128"/>
      <c r="AY22" s="128"/>
      <c r="AZ22" s="128"/>
      <c r="BA22" s="128"/>
      <c r="BB22" s="128"/>
      <c r="BC22" s="128"/>
      <c r="BD22" s="128"/>
      <c r="BE22" s="128"/>
      <c r="BF22" s="128"/>
      <c r="BG22" s="128"/>
      <c r="BH22" s="128"/>
      <c r="BI22" s="128"/>
      <c r="BJ22" s="128"/>
      <c r="BK22" s="128"/>
      <c r="BL22" s="128"/>
      <c r="BM22" s="128"/>
      <c r="BN22" s="128"/>
      <c r="BO22" s="128"/>
      <c r="BP22" s="128"/>
      <c r="BQ22" s="128"/>
      <c r="BR22" s="128"/>
      <c r="BS22" s="128"/>
      <c r="BT22" s="128"/>
      <c r="BU22" s="128"/>
      <c r="BV22" s="128"/>
      <c r="BW22" s="128"/>
      <c r="BX22" s="128"/>
      <c r="BY22" s="128"/>
      <c r="BZ22" s="128"/>
      <c r="CA22" s="128"/>
      <c r="CB22" s="129"/>
    </row>
    <row r="23" spans="3:80" ht="9.75" customHeight="1">
      <c r="C23" s="127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/>
      <c r="AX23" s="128"/>
      <c r="AY23" s="128"/>
      <c r="AZ23" s="128"/>
      <c r="BA23" s="128"/>
      <c r="BB23" s="128"/>
      <c r="BC23" s="128"/>
      <c r="BD23" s="128"/>
      <c r="BE23" s="128"/>
      <c r="BF23" s="128"/>
      <c r="BG23" s="128"/>
      <c r="BH23" s="128"/>
      <c r="BI23" s="128"/>
      <c r="BJ23" s="128"/>
      <c r="BK23" s="128"/>
      <c r="BL23" s="128"/>
      <c r="BM23" s="128"/>
      <c r="BN23" s="128"/>
      <c r="BO23" s="128"/>
      <c r="BP23" s="128"/>
      <c r="BQ23" s="128"/>
      <c r="BR23" s="128"/>
      <c r="BS23" s="128"/>
      <c r="BT23" s="128"/>
      <c r="BU23" s="128"/>
      <c r="BV23" s="128"/>
      <c r="BW23" s="128"/>
      <c r="BX23" s="128"/>
      <c r="BY23" s="128"/>
      <c r="BZ23" s="128"/>
      <c r="CA23" s="128"/>
      <c r="CB23" s="129"/>
    </row>
    <row r="24" spans="3:80" ht="9.75" customHeight="1">
      <c r="C24" s="127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8"/>
      <c r="AB24" s="128"/>
      <c r="AC24" s="128"/>
      <c r="AD24" s="128"/>
      <c r="AE24" s="128"/>
      <c r="AF24" s="128"/>
      <c r="AG24" s="128"/>
      <c r="AH24" s="128"/>
      <c r="AI24" s="128"/>
      <c r="AJ24" s="128"/>
      <c r="AK24" s="128"/>
      <c r="AL24" s="128"/>
      <c r="AM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/>
      <c r="AX24" s="128"/>
      <c r="AY24" s="128"/>
      <c r="AZ24" s="128"/>
      <c r="BA24" s="128"/>
      <c r="BB24" s="128"/>
      <c r="BC24" s="128"/>
      <c r="BD24" s="128"/>
      <c r="BE24" s="128"/>
      <c r="BF24" s="128"/>
      <c r="BG24" s="128"/>
      <c r="BH24" s="128"/>
      <c r="BI24" s="128"/>
      <c r="BJ24" s="128"/>
      <c r="BK24" s="128"/>
      <c r="BL24" s="128"/>
      <c r="BM24" s="128"/>
      <c r="BN24" s="128"/>
      <c r="BO24" s="128"/>
      <c r="BP24" s="128"/>
      <c r="BQ24" s="128"/>
      <c r="BR24" s="128"/>
      <c r="BS24" s="128"/>
      <c r="BT24" s="128"/>
      <c r="BU24" s="128"/>
      <c r="BV24" s="128"/>
      <c r="BW24" s="128"/>
      <c r="BX24" s="128"/>
      <c r="BY24" s="128"/>
      <c r="BZ24" s="128"/>
      <c r="CA24" s="128"/>
      <c r="CB24" s="129"/>
    </row>
    <row r="25" spans="3:80" ht="9.75" customHeight="1">
      <c r="C25" s="127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/>
      <c r="AX25" s="128"/>
      <c r="AY25" s="128"/>
      <c r="AZ25" s="128"/>
      <c r="BA25" s="128"/>
      <c r="BB25" s="128"/>
      <c r="BC25" s="128"/>
      <c r="BD25" s="128"/>
      <c r="BE25" s="128"/>
      <c r="BF25" s="128"/>
      <c r="BG25" s="128"/>
      <c r="BH25" s="128"/>
      <c r="BI25" s="128"/>
      <c r="BJ25" s="128"/>
      <c r="BK25" s="128"/>
      <c r="BL25" s="128"/>
      <c r="BM25" s="128"/>
      <c r="BN25" s="128"/>
      <c r="BO25" s="128"/>
      <c r="BP25" s="128"/>
      <c r="BQ25" s="128"/>
      <c r="BR25" s="128"/>
      <c r="BS25" s="128"/>
      <c r="BT25" s="128"/>
      <c r="BU25" s="128"/>
      <c r="BV25" s="128"/>
      <c r="BW25" s="128"/>
      <c r="BX25" s="128"/>
      <c r="BY25" s="128"/>
      <c r="BZ25" s="128"/>
      <c r="CA25" s="128"/>
      <c r="CB25" s="129"/>
    </row>
    <row r="26" spans="3:80" ht="9.75" customHeight="1">
      <c r="C26" s="127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128"/>
      <c r="AG26" s="12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/>
      <c r="AX26" s="128"/>
      <c r="AY26" s="128"/>
      <c r="AZ26" s="128"/>
      <c r="BA26" s="128"/>
      <c r="BB26" s="128"/>
      <c r="BC26" s="128"/>
      <c r="BD26" s="128"/>
      <c r="BE26" s="128"/>
      <c r="BF26" s="128"/>
      <c r="BG26" s="128"/>
      <c r="BH26" s="128"/>
      <c r="BI26" s="128"/>
      <c r="BJ26" s="128"/>
      <c r="BK26" s="128"/>
      <c r="BL26" s="128"/>
      <c r="BM26" s="128"/>
      <c r="BN26" s="128"/>
      <c r="BO26" s="128"/>
      <c r="BP26" s="128"/>
      <c r="BQ26" s="128"/>
      <c r="BR26" s="128"/>
      <c r="BS26" s="128"/>
      <c r="BT26" s="128"/>
      <c r="BU26" s="128"/>
      <c r="BV26" s="128"/>
      <c r="BW26" s="128"/>
      <c r="BX26" s="128"/>
      <c r="BY26" s="128"/>
      <c r="BZ26" s="128"/>
      <c r="CA26" s="128"/>
      <c r="CB26" s="129"/>
    </row>
    <row r="27" spans="3:80" ht="9.75" customHeight="1">
      <c r="C27" s="127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/>
      <c r="AX27" s="128"/>
      <c r="AY27" s="128"/>
      <c r="AZ27" s="128"/>
      <c r="BA27" s="128"/>
      <c r="BB27" s="128"/>
      <c r="BC27" s="128"/>
      <c r="BD27" s="128"/>
      <c r="BE27" s="128"/>
      <c r="BF27" s="128"/>
      <c r="BG27" s="128"/>
      <c r="BH27" s="128"/>
      <c r="BI27" s="128"/>
      <c r="BJ27" s="128"/>
      <c r="BK27" s="128"/>
      <c r="BL27" s="128"/>
      <c r="BM27" s="128"/>
      <c r="BN27" s="128"/>
      <c r="BO27" s="128"/>
      <c r="BP27" s="128"/>
      <c r="BQ27" s="128"/>
      <c r="BR27" s="128"/>
      <c r="BS27" s="128"/>
      <c r="BT27" s="128"/>
      <c r="BU27" s="128"/>
      <c r="BV27" s="128"/>
      <c r="BW27" s="128"/>
      <c r="BX27" s="128"/>
      <c r="BY27" s="128"/>
      <c r="BZ27" s="128"/>
      <c r="CA27" s="128"/>
      <c r="CB27" s="129"/>
    </row>
    <row r="28" spans="3:80" ht="9.75" customHeight="1" thickBot="1">
      <c r="C28" s="130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  <c r="AH28" s="131"/>
      <c r="AI28" s="131"/>
      <c r="AJ28" s="131"/>
      <c r="AK28" s="131"/>
      <c r="AL28" s="13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1"/>
      <c r="BD28" s="131"/>
      <c r="BE28" s="131"/>
      <c r="BF28" s="131"/>
      <c r="BG28" s="131"/>
      <c r="BH28" s="131"/>
      <c r="BI28" s="131"/>
      <c r="BJ28" s="131"/>
      <c r="BK28" s="131"/>
      <c r="BL28" s="131"/>
      <c r="BM28" s="131"/>
      <c r="BN28" s="131"/>
      <c r="BO28" s="131"/>
      <c r="BP28" s="131"/>
      <c r="BQ28" s="131"/>
      <c r="BR28" s="131"/>
      <c r="BS28" s="131"/>
      <c r="BT28" s="131"/>
      <c r="BU28" s="131"/>
      <c r="BV28" s="131"/>
      <c r="BW28" s="131"/>
      <c r="BX28" s="131"/>
      <c r="BY28" s="131"/>
      <c r="BZ28" s="131"/>
      <c r="CA28" s="131"/>
      <c r="CB28" s="132"/>
    </row>
    <row r="29" spans="3:80" ht="9.75" customHeight="1" thickBot="1"/>
    <row r="30" spans="3:80" ht="9.75" customHeight="1">
      <c r="C30" s="100" t="s">
        <v>81</v>
      </c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1"/>
      <c r="AH30" s="101"/>
      <c r="AI30" s="101"/>
      <c r="AJ30" s="101"/>
      <c r="AK30" s="101"/>
      <c r="AL30" s="101"/>
      <c r="AM30" s="101"/>
      <c r="AN30" s="102"/>
      <c r="AO30" s="7"/>
      <c r="AP30" s="7"/>
      <c r="AQ30" s="100" t="s">
        <v>82</v>
      </c>
      <c r="AR30" s="101"/>
      <c r="AS30" s="101"/>
      <c r="AT30" s="101"/>
      <c r="AU30" s="101"/>
      <c r="AV30" s="101"/>
      <c r="AW30" s="101"/>
      <c r="AX30" s="101"/>
      <c r="AY30" s="101"/>
      <c r="AZ30" s="101"/>
      <c r="BA30" s="101"/>
      <c r="BB30" s="101"/>
      <c r="BC30" s="101"/>
      <c r="BD30" s="101"/>
      <c r="BE30" s="101"/>
      <c r="BF30" s="101"/>
      <c r="BG30" s="101"/>
      <c r="BH30" s="101"/>
      <c r="BI30" s="101"/>
      <c r="BJ30" s="101"/>
      <c r="BK30" s="101"/>
      <c r="BL30" s="101"/>
      <c r="BM30" s="101"/>
      <c r="BN30" s="101"/>
      <c r="BO30" s="101"/>
      <c r="BP30" s="101"/>
      <c r="BQ30" s="101"/>
      <c r="BR30" s="101"/>
      <c r="BS30" s="101"/>
      <c r="BT30" s="101"/>
      <c r="BU30" s="101"/>
      <c r="BV30" s="101"/>
      <c r="BW30" s="101"/>
      <c r="BX30" s="101"/>
      <c r="BY30" s="101"/>
      <c r="BZ30" s="101"/>
      <c r="CA30" s="101"/>
      <c r="CB30" s="102"/>
    </row>
    <row r="31" spans="3:80" ht="9.75" customHeight="1" thickBot="1">
      <c r="C31" s="103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5"/>
      <c r="AO31" s="7"/>
      <c r="AP31" s="7"/>
      <c r="AQ31" s="103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5"/>
    </row>
    <row r="32" spans="3:80" ht="9.75" customHeight="1">
      <c r="C32" s="124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6"/>
      <c r="AQ32" s="124"/>
      <c r="AR32" s="125"/>
      <c r="AS32" s="125"/>
      <c r="AT32" s="125"/>
      <c r="AU32" s="125"/>
      <c r="AV32" s="125"/>
      <c r="AW32" s="125"/>
      <c r="AX32" s="125"/>
      <c r="AY32" s="125"/>
      <c r="AZ32" s="125"/>
      <c r="BA32" s="125"/>
      <c r="BB32" s="125"/>
      <c r="BC32" s="125"/>
      <c r="BD32" s="125"/>
      <c r="BE32" s="125"/>
      <c r="BF32" s="125"/>
      <c r="BG32" s="125"/>
      <c r="BH32" s="125"/>
      <c r="BI32" s="125"/>
      <c r="BJ32" s="125"/>
      <c r="BK32" s="125"/>
      <c r="BL32" s="125"/>
      <c r="BM32" s="125"/>
      <c r="BN32" s="125"/>
      <c r="BO32" s="125"/>
      <c r="BP32" s="125"/>
      <c r="BQ32" s="125"/>
      <c r="BR32" s="125"/>
      <c r="BS32" s="125"/>
      <c r="BT32" s="125"/>
      <c r="BU32" s="125"/>
      <c r="BV32" s="125"/>
      <c r="BW32" s="125"/>
      <c r="BX32" s="125"/>
      <c r="BY32" s="125"/>
      <c r="BZ32" s="125"/>
      <c r="CA32" s="125"/>
      <c r="CB32" s="126"/>
    </row>
    <row r="33" spans="3:80" ht="9.75" customHeight="1">
      <c r="C33" s="127"/>
      <c r="D33" s="128"/>
      <c r="E33" s="128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9"/>
      <c r="AQ33" s="127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28"/>
      <c r="BP33" s="128"/>
      <c r="BQ33" s="128"/>
      <c r="BR33" s="128"/>
      <c r="BS33" s="128"/>
      <c r="BT33" s="128"/>
      <c r="BU33" s="128"/>
      <c r="BV33" s="128"/>
      <c r="BW33" s="128"/>
      <c r="BX33" s="128"/>
      <c r="BY33" s="128"/>
      <c r="BZ33" s="128"/>
      <c r="CA33" s="128"/>
      <c r="CB33" s="129"/>
    </row>
    <row r="34" spans="3:80" ht="9.75" customHeight="1">
      <c r="C34" s="127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9"/>
      <c r="AQ34" s="127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128"/>
      <c r="BD34" s="128"/>
      <c r="BE34" s="128"/>
      <c r="BF34" s="128"/>
      <c r="BG34" s="128"/>
      <c r="BH34" s="128"/>
      <c r="BI34" s="128"/>
      <c r="BJ34" s="128"/>
      <c r="BK34" s="128"/>
      <c r="BL34" s="128"/>
      <c r="BM34" s="128"/>
      <c r="BN34" s="128"/>
      <c r="BO34" s="128"/>
      <c r="BP34" s="128"/>
      <c r="BQ34" s="128"/>
      <c r="BR34" s="128"/>
      <c r="BS34" s="128"/>
      <c r="BT34" s="128"/>
      <c r="BU34" s="128"/>
      <c r="BV34" s="128"/>
      <c r="BW34" s="128"/>
      <c r="BX34" s="128"/>
      <c r="BY34" s="128"/>
      <c r="BZ34" s="128"/>
      <c r="CA34" s="128"/>
      <c r="CB34" s="129"/>
    </row>
    <row r="35" spans="3:80" ht="9.75" customHeight="1">
      <c r="C35" s="127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9"/>
      <c r="AQ35" s="127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  <c r="BC35" s="128"/>
      <c r="BD35" s="128"/>
      <c r="BE35" s="128"/>
      <c r="BF35" s="128"/>
      <c r="BG35" s="128"/>
      <c r="BH35" s="128"/>
      <c r="BI35" s="128"/>
      <c r="BJ35" s="128"/>
      <c r="BK35" s="128"/>
      <c r="BL35" s="128"/>
      <c r="BM35" s="128"/>
      <c r="BN35" s="128"/>
      <c r="BO35" s="128"/>
      <c r="BP35" s="128"/>
      <c r="BQ35" s="128"/>
      <c r="BR35" s="128"/>
      <c r="BS35" s="128"/>
      <c r="BT35" s="128"/>
      <c r="BU35" s="128"/>
      <c r="BV35" s="128"/>
      <c r="BW35" s="128"/>
      <c r="BX35" s="128"/>
      <c r="BY35" s="128"/>
      <c r="BZ35" s="128"/>
      <c r="CA35" s="128"/>
      <c r="CB35" s="129"/>
    </row>
    <row r="36" spans="3:80" ht="9.75" customHeight="1">
      <c r="C36" s="127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9"/>
      <c r="AQ36" s="127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28"/>
      <c r="BO36" s="128"/>
      <c r="BP36" s="128"/>
      <c r="BQ36" s="128"/>
      <c r="BR36" s="128"/>
      <c r="BS36" s="128"/>
      <c r="BT36" s="128"/>
      <c r="BU36" s="128"/>
      <c r="BV36" s="128"/>
      <c r="BW36" s="128"/>
      <c r="BX36" s="128"/>
      <c r="BY36" s="128"/>
      <c r="BZ36" s="128"/>
      <c r="CA36" s="128"/>
      <c r="CB36" s="129"/>
    </row>
    <row r="37" spans="3:80" ht="9.75" customHeight="1">
      <c r="C37" s="127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9"/>
      <c r="AQ37" s="127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  <c r="BC37" s="128"/>
      <c r="BD37" s="128"/>
      <c r="BE37" s="128"/>
      <c r="BF37" s="128"/>
      <c r="BG37" s="128"/>
      <c r="BH37" s="128"/>
      <c r="BI37" s="128"/>
      <c r="BJ37" s="128"/>
      <c r="BK37" s="128"/>
      <c r="BL37" s="128"/>
      <c r="BM37" s="128"/>
      <c r="BN37" s="128"/>
      <c r="BO37" s="128"/>
      <c r="BP37" s="128"/>
      <c r="BQ37" s="128"/>
      <c r="BR37" s="128"/>
      <c r="BS37" s="128"/>
      <c r="BT37" s="128"/>
      <c r="BU37" s="128"/>
      <c r="BV37" s="128"/>
      <c r="BW37" s="128"/>
      <c r="BX37" s="128"/>
      <c r="BY37" s="128"/>
      <c r="BZ37" s="128"/>
      <c r="CA37" s="128"/>
      <c r="CB37" s="129"/>
    </row>
    <row r="38" spans="3:80" ht="9.75" customHeight="1">
      <c r="C38" s="127"/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9"/>
      <c r="AQ38" s="127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  <c r="BC38" s="128"/>
      <c r="BD38" s="128"/>
      <c r="BE38" s="128"/>
      <c r="BF38" s="128"/>
      <c r="BG38" s="128"/>
      <c r="BH38" s="128"/>
      <c r="BI38" s="128"/>
      <c r="BJ38" s="128"/>
      <c r="BK38" s="128"/>
      <c r="BL38" s="128"/>
      <c r="BM38" s="128"/>
      <c r="BN38" s="128"/>
      <c r="BO38" s="128"/>
      <c r="BP38" s="128"/>
      <c r="BQ38" s="128"/>
      <c r="BR38" s="128"/>
      <c r="BS38" s="128"/>
      <c r="BT38" s="128"/>
      <c r="BU38" s="128"/>
      <c r="BV38" s="128"/>
      <c r="BW38" s="128"/>
      <c r="BX38" s="128"/>
      <c r="BY38" s="128"/>
      <c r="BZ38" s="128"/>
      <c r="CA38" s="128"/>
      <c r="CB38" s="129"/>
    </row>
    <row r="39" spans="3:80" ht="9.75" customHeight="1">
      <c r="C39" s="127"/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9"/>
      <c r="AQ39" s="127"/>
      <c r="AR39" s="128"/>
      <c r="AS39" s="128"/>
      <c r="AT39" s="128"/>
      <c r="AU39" s="128"/>
      <c r="AV39" s="128"/>
      <c r="AW39" s="128"/>
      <c r="AX39" s="128"/>
      <c r="AY39" s="128"/>
      <c r="AZ39" s="128"/>
      <c r="BA39" s="128"/>
      <c r="BB39" s="128"/>
      <c r="BC39" s="128"/>
      <c r="BD39" s="128"/>
      <c r="BE39" s="128"/>
      <c r="BF39" s="128"/>
      <c r="BG39" s="128"/>
      <c r="BH39" s="128"/>
      <c r="BI39" s="128"/>
      <c r="BJ39" s="128"/>
      <c r="BK39" s="128"/>
      <c r="BL39" s="128"/>
      <c r="BM39" s="128"/>
      <c r="BN39" s="128"/>
      <c r="BO39" s="128"/>
      <c r="BP39" s="128"/>
      <c r="BQ39" s="128"/>
      <c r="BR39" s="128"/>
      <c r="BS39" s="128"/>
      <c r="BT39" s="128"/>
      <c r="BU39" s="128"/>
      <c r="BV39" s="128"/>
      <c r="BW39" s="128"/>
      <c r="BX39" s="128"/>
      <c r="BY39" s="128"/>
      <c r="BZ39" s="128"/>
      <c r="CA39" s="128"/>
      <c r="CB39" s="129"/>
    </row>
    <row r="40" spans="3:80" ht="9.75" customHeight="1">
      <c r="C40" s="127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  <c r="AJ40" s="128"/>
      <c r="AK40" s="128"/>
      <c r="AL40" s="128"/>
      <c r="AM40" s="128"/>
      <c r="AN40" s="129"/>
      <c r="AQ40" s="127"/>
      <c r="AR40" s="128"/>
      <c r="AS40" s="128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8"/>
      <c r="BE40" s="128"/>
      <c r="BF40" s="128"/>
      <c r="BG40" s="128"/>
      <c r="BH40" s="128"/>
      <c r="BI40" s="128"/>
      <c r="BJ40" s="128"/>
      <c r="BK40" s="128"/>
      <c r="BL40" s="128"/>
      <c r="BM40" s="128"/>
      <c r="BN40" s="128"/>
      <c r="BO40" s="128"/>
      <c r="BP40" s="128"/>
      <c r="BQ40" s="128"/>
      <c r="BR40" s="128"/>
      <c r="BS40" s="128"/>
      <c r="BT40" s="128"/>
      <c r="BU40" s="128"/>
      <c r="BV40" s="128"/>
      <c r="BW40" s="128"/>
      <c r="BX40" s="128"/>
      <c r="BY40" s="128"/>
      <c r="BZ40" s="128"/>
      <c r="CA40" s="128"/>
      <c r="CB40" s="129"/>
    </row>
    <row r="41" spans="3:80" ht="9.75" customHeight="1">
      <c r="C41" s="127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9"/>
      <c r="AQ41" s="127"/>
      <c r="AR41" s="128"/>
      <c r="AS41" s="128"/>
      <c r="AT41" s="128"/>
      <c r="AU41" s="128"/>
      <c r="AV41" s="128"/>
      <c r="AW41" s="128"/>
      <c r="AX41" s="128"/>
      <c r="AY41" s="128"/>
      <c r="AZ41" s="128"/>
      <c r="BA41" s="128"/>
      <c r="BB41" s="128"/>
      <c r="BC41" s="128"/>
      <c r="BD41" s="128"/>
      <c r="BE41" s="128"/>
      <c r="BF41" s="128"/>
      <c r="BG41" s="128"/>
      <c r="BH41" s="128"/>
      <c r="BI41" s="128"/>
      <c r="BJ41" s="128"/>
      <c r="BK41" s="128"/>
      <c r="BL41" s="128"/>
      <c r="BM41" s="128"/>
      <c r="BN41" s="128"/>
      <c r="BO41" s="128"/>
      <c r="BP41" s="128"/>
      <c r="BQ41" s="128"/>
      <c r="BR41" s="128"/>
      <c r="BS41" s="128"/>
      <c r="BT41" s="128"/>
      <c r="BU41" s="128"/>
      <c r="BV41" s="128"/>
      <c r="BW41" s="128"/>
      <c r="BX41" s="128"/>
      <c r="BY41" s="128"/>
      <c r="BZ41" s="128"/>
      <c r="CA41" s="128"/>
      <c r="CB41" s="129"/>
    </row>
    <row r="42" spans="3:80" ht="9.75" customHeight="1">
      <c r="C42" s="127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29"/>
      <c r="AQ42" s="127"/>
      <c r="AR42" s="128"/>
      <c r="AS42" s="128"/>
      <c r="AT42" s="128"/>
      <c r="AU42" s="128"/>
      <c r="AV42" s="128"/>
      <c r="AW42" s="128"/>
      <c r="AX42" s="128"/>
      <c r="AY42" s="128"/>
      <c r="AZ42" s="128"/>
      <c r="BA42" s="128"/>
      <c r="BB42" s="128"/>
      <c r="BC42" s="128"/>
      <c r="BD42" s="128"/>
      <c r="BE42" s="128"/>
      <c r="BF42" s="128"/>
      <c r="BG42" s="128"/>
      <c r="BH42" s="128"/>
      <c r="BI42" s="128"/>
      <c r="BJ42" s="128"/>
      <c r="BK42" s="128"/>
      <c r="BL42" s="128"/>
      <c r="BM42" s="128"/>
      <c r="BN42" s="128"/>
      <c r="BO42" s="128"/>
      <c r="BP42" s="128"/>
      <c r="BQ42" s="128"/>
      <c r="BR42" s="128"/>
      <c r="BS42" s="128"/>
      <c r="BT42" s="128"/>
      <c r="BU42" s="128"/>
      <c r="BV42" s="128"/>
      <c r="BW42" s="128"/>
      <c r="BX42" s="128"/>
      <c r="BY42" s="128"/>
      <c r="BZ42" s="128"/>
      <c r="CA42" s="128"/>
      <c r="CB42" s="129"/>
    </row>
    <row r="43" spans="3:80" ht="9.75" customHeight="1">
      <c r="C43" s="127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9"/>
      <c r="AQ43" s="127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  <c r="BO43" s="128"/>
      <c r="BP43" s="128"/>
      <c r="BQ43" s="128"/>
      <c r="BR43" s="128"/>
      <c r="BS43" s="128"/>
      <c r="BT43" s="128"/>
      <c r="BU43" s="128"/>
      <c r="BV43" s="128"/>
      <c r="BW43" s="128"/>
      <c r="BX43" s="128"/>
      <c r="BY43" s="128"/>
      <c r="BZ43" s="128"/>
      <c r="CA43" s="128"/>
      <c r="CB43" s="129"/>
    </row>
    <row r="44" spans="3:80" ht="9.75" customHeight="1">
      <c r="C44" s="127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  <c r="AJ44" s="128"/>
      <c r="AK44" s="128"/>
      <c r="AL44" s="128"/>
      <c r="AM44" s="128"/>
      <c r="AN44" s="129"/>
      <c r="AQ44" s="127"/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128"/>
      <c r="BF44" s="128"/>
      <c r="BG44" s="128"/>
      <c r="BH44" s="128"/>
      <c r="BI44" s="128"/>
      <c r="BJ44" s="128"/>
      <c r="BK44" s="128"/>
      <c r="BL44" s="128"/>
      <c r="BM44" s="128"/>
      <c r="BN44" s="128"/>
      <c r="BO44" s="128"/>
      <c r="BP44" s="128"/>
      <c r="BQ44" s="128"/>
      <c r="BR44" s="128"/>
      <c r="BS44" s="128"/>
      <c r="BT44" s="128"/>
      <c r="BU44" s="128"/>
      <c r="BV44" s="128"/>
      <c r="BW44" s="128"/>
      <c r="BX44" s="128"/>
      <c r="BY44" s="128"/>
      <c r="BZ44" s="128"/>
      <c r="CA44" s="128"/>
      <c r="CB44" s="129"/>
    </row>
    <row r="45" spans="3:80" ht="9.75" customHeight="1">
      <c r="C45" s="127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8"/>
      <c r="AB45" s="128"/>
      <c r="AC45" s="128"/>
      <c r="AD45" s="128"/>
      <c r="AE45" s="128"/>
      <c r="AF45" s="128"/>
      <c r="AG45" s="128"/>
      <c r="AH45" s="128"/>
      <c r="AI45" s="128"/>
      <c r="AJ45" s="128"/>
      <c r="AK45" s="128"/>
      <c r="AL45" s="128"/>
      <c r="AM45" s="128"/>
      <c r="AN45" s="129"/>
      <c r="AQ45" s="127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  <c r="BO45" s="128"/>
      <c r="BP45" s="128"/>
      <c r="BQ45" s="128"/>
      <c r="BR45" s="128"/>
      <c r="BS45" s="128"/>
      <c r="BT45" s="128"/>
      <c r="BU45" s="128"/>
      <c r="BV45" s="128"/>
      <c r="BW45" s="128"/>
      <c r="BX45" s="128"/>
      <c r="BY45" s="128"/>
      <c r="BZ45" s="128"/>
      <c r="CA45" s="128"/>
      <c r="CB45" s="129"/>
    </row>
    <row r="46" spans="3:80" ht="9.75" customHeight="1">
      <c r="C46" s="127"/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8"/>
      <c r="AB46" s="128"/>
      <c r="AC46" s="128"/>
      <c r="AD46" s="128"/>
      <c r="AE46" s="128"/>
      <c r="AF46" s="128"/>
      <c r="AG46" s="128"/>
      <c r="AH46" s="128"/>
      <c r="AI46" s="128"/>
      <c r="AJ46" s="128"/>
      <c r="AK46" s="128"/>
      <c r="AL46" s="128"/>
      <c r="AM46" s="128"/>
      <c r="AN46" s="129"/>
      <c r="AQ46" s="127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  <c r="BO46" s="128"/>
      <c r="BP46" s="128"/>
      <c r="BQ46" s="128"/>
      <c r="BR46" s="128"/>
      <c r="BS46" s="128"/>
      <c r="BT46" s="128"/>
      <c r="BU46" s="128"/>
      <c r="BV46" s="128"/>
      <c r="BW46" s="128"/>
      <c r="BX46" s="128"/>
      <c r="BY46" s="128"/>
      <c r="BZ46" s="128"/>
      <c r="CA46" s="128"/>
      <c r="CB46" s="129"/>
    </row>
    <row r="47" spans="3:80" ht="9.75" customHeight="1">
      <c r="C47" s="127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P47" s="128"/>
      <c r="Q47" s="128"/>
      <c r="R47" s="128"/>
      <c r="S47" s="128"/>
      <c r="T47" s="128"/>
      <c r="U47" s="128"/>
      <c r="V47" s="128"/>
      <c r="W47" s="128"/>
      <c r="X47" s="128"/>
      <c r="Y47" s="128"/>
      <c r="Z47" s="128"/>
      <c r="AA47" s="128"/>
      <c r="AB47" s="128"/>
      <c r="AC47" s="128"/>
      <c r="AD47" s="128"/>
      <c r="AE47" s="128"/>
      <c r="AF47" s="128"/>
      <c r="AG47" s="128"/>
      <c r="AH47" s="128"/>
      <c r="AI47" s="128"/>
      <c r="AJ47" s="128"/>
      <c r="AK47" s="128"/>
      <c r="AL47" s="128"/>
      <c r="AM47" s="128"/>
      <c r="AN47" s="129"/>
      <c r="AQ47" s="127"/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128"/>
      <c r="BF47" s="128"/>
      <c r="BG47" s="128"/>
      <c r="BH47" s="128"/>
      <c r="BI47" s="128"/>
      <c r="BJ47" s="128"/>
      <c r="BK47" s="128"/>
      <c r="BL47" s="128"/>
      <c r="BM47" s="128"/>
      <c r="BN47" s="128"/>
      <c r="BO47" s="128"/>
      <c r="BP47" s="128"/>
      <c r="BQ47" s="128"/>
      <c r="BR47" s="128"/>
      <c r="BS47" s="128"/>
      <c r="BT47" s="128"/>
      <c r="BU47" s="128"/>
      <c r="BV47" s="128"/>
      <c r="BW47" s="128"/>
      <c r="BX47" s="128"/>
      <c r="BY47" s="128"/>
      <c r="BZ47" s="128"/>
      <c r="CA47" s="128"/>
      <c r="CB47" s="129"/>
    </row>
    <row r="48" spans="3:80" ht="9.75" customHeight="1">
      <c r="C48" s="127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9"/>
      <c r="AQ48" s="127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  <c r="BP48" s="128"/>
      <c r="BQ48" s="128"/>
      <c r="BR48" s="128"/>
      <c r="BS48" s="128"/>
      <c r="BT48" s="128"/>
      <c r="BU48" s="128"/>
      <c r="BV48" s="128"/>
      <c r="BW48" s="128"/>
      <c r="BX48" s="128"/>
      <c r="BY48" s="128"/>
      <c r="BZ48" s="128"/>
      <c r="CA48" s="128"/>
      <c r="CB48" s="129"/>
    </row>
    <row r="49" spans="3:80" ht="9.75" customHeight="1">
      <c r="C49" s="127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  <c r="P49" s="128"/>
      <c r="Q49" s="128"/>
      <c r="R49" s="128"/>
      <c r="S49" s="128"/>
      <c r="T49" s="128"/>
      <c r="U49" s="128"/>
      <c r="V49" s="128"/>
      <c r="W49" s="128"/>
      <c r="X49" s="128"/>
      <c r="Y49" s="128"/>
      <c r="Z49" s="128"/>
      <c r="AA49" s="128"/>
      <c r="AB49" s="128"/>
      <c r="AC49" s="128"/>
      <c r="AD49" s="128"/>
      <c r="AE49" s="128"/>
      <c r="AF49" s="128"/>
      <c r="AG49" s="128"/>
      <c r="AH49" s="128"/>
      <c r="AI49" s="128"/>
      <c r="AJ49" s="128"/>
      <c r="AK49" s="128"/>
      <c r="AL49" s="128"/>
      <c r="AM49" s="128"/>
      <c r="AN49" s="129"/>
      <c r="AQ49" s="127"/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128"/>
      <c r="BF49" s="128"/>
      <c r="BG49" s="128"/>
      <c r="BH49" s="128"/>
      <c r="BI49" s="128"/>
      <c r="BJ49" s="128"/>
      <c r="BK49" s="128"/>
      <c r="BL49" s="128"/>
      <c r="BM49" s="128"/>
      <c r="BN49" s="128"/>
      <c r="BO49" s="128"/>
      <c r="BP49" s="128"/>
      <c r="BQ49" s="128"/>
      <c r="BR49" s="128"/>
      <c r="BS49" s="128"/>
      <c r="BT49" s="128"/>
      <c r="BU49" s="128"/>
      <c r="BV49" s="128"/>
      <c r="BW49" s="128"/>
      <c r="BX49" s="128"/>
      <c r="BY49" s="128"/>
      <c r="BZ49" s="128"/>
      <c r="CA49" s="128"/>
      <c r="CB49" s="129"/>
    </row>
    <row r="50" spans="3:80" ht="9.75" customHeight="1" thickBot="1">
      <c r="C50" s="130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2"/>
      <c r="AQ50" s="130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1"/>
      <c r="BQ50" s="131"/>
      <c r="BR50" s="131"/>
      <c r="BS50" s="131"/>
      <c r="BT50" s="131"/>
      <c r="BU50" s="131"/>
      <c r="BV50" s="131"/>
      <c r="BW50" s="131"/>
      <c r="BX50" s="131"/>
      <c r="BY50" s="131"/>
      <c r="BZ50" s="131"/>
      <c r="CA50" s="131"/>
      <c r="CB50" s="132"/>
    </row>
  </sheetData>
  <mergeCells count="6">
    <mergeCell ref="C13:CB14"/>
    <mergeCell ref="C15:CB28"/>
    <mergeCell ref="C30:AN31"/>
    <mergeCell ref="AQ30:CB31"/>
    <mergeCell ref="C32:AN50"/>
    <mergeCell ref="AQ32:CB5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Atualizar_TB">
                <anchor moveWithCells="1" sizeWithCells="1">
                  <from>
                    <xdr:col>84</xdr:col>
                    <xdr:colOff>0</xdr:colOff>
                    <xdr:row>14</xdr:row>
                    <xdr:rowOff>107950</xdr:rowOff>
                  </from>
                  <to>
                    <xdr:col>94</xdr:col>
                    <xdr:colOff>19050</xdr:colOff>
                    <xdr:row>20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Atualizar_DN">
                <anchor moveWithCells="1" sizeWithCells="1">
                  <from>
                    <xdr:col>84</xdr:col>
                    <xdr:colOff>12700</xdr:colOff>
                    <xdr:row>21</xdr:row>
                    <xdr:rowOff>0</xdr:rowOff>
                  </from>
                  <to>
                    <xdr:col>94</xdr:col>
                    <xdr:colOff>25400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Props1.xml><?xml version="1.0" encoding="utf-8"?>
<ds:datastoreItem xmlns:ds="http://schemas.openxmlformats.org/officeDocument/2006/customXml" ds:itemID="{DB4F9284-DDF0-4B72-9F0B-7BAB2414A3AD}">
  <ds:schemaRefs/>
</ds:datastoreItem>
</file>

<file path=customXml/itemProps2.xml><?xml version="1.0" encoding="utf-8"?>
<ds:datastoreItem xmlns:ds="http://schemas.openxmlformats.org/officeDocument/2006/customXml" ds:itemID="{26F881A7-A898-422E-8DF1-58F4A1762D3E}">
  <ds:schemaRefs/>
</ds:datastoreItem>
</file>

<file path=customXml/itemProps3.xml><?xml version="1.0" encoding="utf-8"?>
<ds:datastoreItem xmlns:ds="http://schemas.openxmlformats.org/officeDocument/2006/customXml" ds:itemID="{BA0B2594-236C-4C17-A1C3-B282985F322C}">
  <ds:schemaRefs/>
</ds:datastoreItem>
</file>

<file path=customXml/itemProps4.xml><?xml version="1.0" encoding="utf-8"?>
<ds:datastoreItem xmlns:ds="http://schemas.openxmlformats.org/officeDocument/2006/customXml" ds:itemID="{B5F0C6A4-07A6-4341-9EE0-8B011C3A9737}">
  <ds:schemaRefs/>
</ds:datastoreItem>
</file>

<file path=customXml/itemProps5.xml><?xml version="1.0" encoding="utf-8"?>
<ds:datastoreItem xmlns:ds="http://schemas.openxmlformats.org/officeDocument/2006/customXml" ds:itemID="{3EEA75B6-2A25-4962-860B-503A9FC2C9A6}">
  <ds:schemaRefs/>
</ds:datastoreItem>
</file>

<file path=customXml/itemProps6.xml><?xml version="1.0" encoding="utf-8"?>
<ds:datastoreItem xmlns:ds="http://schemas.openxmlformats.org/officeDocument/2006/customXml" ds:itemID="{BC0DE385-9C72-4B3F-8C9C-C30A2DDB2721}">
  <ds:schemaRefs/>
</ds:datastoreItem>
</file>

<file path=customXml/itemProps7.xml><?xml version="1.0" encoding="utf-8"?>
<ds:datastoreItem xmlns:ds="http://schemas.openxmlformats.org/officeDocument/2006/customXml" ds:itemID="{823F659A-199B-4717-B074-F3AE53BD7696}">
  <ds:schemaRefs/>
</ds:datastoreItem>
</file>

<file path=customXml/itemProps8.xml><?xml version="1.0" encoding="utf-8"?>
<ds:datastoreItem xmlns:ds="http://schemas.openxmlformats.org/officeDocument/2006/customXml" ds:itemID="{B7062163-F4B6-42A8-8461-5F9408C2264C}">
  <ds:schemaRefs/>
</ds:datastoreItem>
</file>

<file path=customXml/itemProps9.xml><?xml version="1.0" encoding="utf-8"?>
<ds:datastoreItem xmlns:ds="http://schemas.openxmlformats.org/officeDocument/2006/customXml" ds:itemID="{0216815A-13BB-4354-9E33-098E3272586C}">
  <ds:schemaRefs/>
</ds:datastoreItem>
</file>

<file path=customXml/itemProps10.xml><?xml version="1.0" encoding="utf-8"?>
<ds:datastoreItem xmlns:ds="http://schemas.openxmlformats.org/officeDocument/2006/customXml" ds:itemID="{5E82F24A-389A-46C3-B309-0264B9671F19}">
  <ds:schemaRefs/>
</ds:datastoreItem>
</file>

<file path=customXml/itemProps11.xml><?xml version="1.0" encoding="utf-8"?>
<ds:datastoreItem xmlns:ds="http://schemas.openxmlformats.org/officeDocument/2006/customXml" ds:itemID="{0E00E306-3A9B-4246-A01E-072F5B8DA485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DFDEA1A1-1D92-4B75-A124-6D28CCEA3757}">
  <ds:schemaRefs/>
</ds:datastoreItem>
</file>

<file path=customXml/itemProps13.xml><?xml version="1.0" encoding="utf-8"?>
<ds:datastoreItem xmlns:ds="http://schemas.openxmlformats.org/officeDocument/2006/customXml" ds:itemID="{41B6F1C3-9C95-4615-8C8B-9D0686E09B8C}">
  <ds:schemaRefs>
    <ds:schemaRef ds:uri="http://www.w3.org/2001/XMLSchema"/>
    <ds:schemaRef ds:uri="http://microsoft.data.visualization.engine.tours/1.0"/>
  </ds:schemaRefs>
</ds:datastoreItem>
</file>

<file path=customXml/itemProps14.xml><?xml version="1.0" encoding="utf-8"?>
<ds:datastoreItem xmlns:ds="http://schemas.openxmlformats.org/officeDocument/2006/customXml" ds:itemID="{705FC966-5770-4476-8670-E0C93FC73011}">
  <ds:schemaRefs/>
</ds:datastoreItem>
</file>

<file path=customXml/itemProps15.xml><?xml version="1.0" encoding="utf-8"?>
<ds:datastoreItem xmlns:ds="http://schemas.openxmlformats.org/officeDocument/2006/customXml" ds:itemID="{8FDA1F74-EE3F-440B-8D7D-C8078F2A9366}">
  <ds:schemaRefs/>
</ds:datastoreItem>
</file>

<file path=customXml/itemProps16.xml><?xml version="1.0" encoding="utf-8"?>
<ds:datastoreItem xmlns:ds="http://schemas.openxmlformats.org/officeDocument/2006/customXml" ds:itemID="{23FF0CC4-EF78-4CF8-996D-F7786520D540}">
  <ds:schemaRefs/>
</ds:datastoreItem>
</file>

<file path=customXml/itemProps17.xml><?xml version="1.0" encoding="utf-8"?>
<ds:datastoreItem xmlns:ds="http://schemas.openxmlformats.org/officeDocument/2006/customXml" ds:itemID="{E6667498-DA41-4770-8A35-18B105801D8B}">
  <ds:schemaRefs/>
</ds:datastoreItem>
</file>

<file path=customXml/itemProps18.xml><?xml version="1.0" encoding="utf-8"?>
<ds:datastoreItem xmlns:ds="http://schemas.openxmlformats.org/officeDocument/2006/customXml" ds:itemID="{DEAE392C-B9F4-4B7A-9A88-CA41C370921C}">
  <ds:schemaRefs/>
</ds:datastoreItem>
</file>

<file path=customXml/itemProps19.xml><?xml version="1.0" encoding="utf-8"?>
<ds:datastoreItem xmlns:ds="http://schemas.openxmlformats.org/officeDocument/2006/customXml" ds:itemID="{AB57A2DA-CF0A-4C6A-A8D8-DE299573848E}">
  <ds:schemaRefs/>
</ds:datastoreItem>
</file>

<file path=customXml/itemProps20.xml><?xml version="1.0" encoding="utf-8"?>
<ds:datastoreItem xmlns:ds="http://schemas.openxmlformats.org/officeDocument/2006/customXml" ds:itemID="{C750026B-B72A-40CD-8BF9-23467F8C7432}">
  <ds:schemaRefs>
    <ds:schemaRef ds:uri="http://www.w3.org/2001/XMLSchema"/>
    <ds:schemaRef ds:uri="http://microsoft.data.visualization.Client.Excel/1.0"/>
  </ds:schemaRefs>
</ds:datastoreItem>
</file>

<file path=customXml/itemProps21.xml><?xml version="1.0" encoding="utf-8"?>
<ds:datastoreItem xmlns:ds="http://schemas.openxmlformats.org/officeDocument/2006/customXml" ds:itemID="{1DE8A905-0122-45E9-9EC5-BA897AB600B5}">
  <ds:schemaRefs/>
</ds:datastoreItem>
</file>

<file path=customXml/itemProps22.xml><?xml version="1.0" encoding="utf-8"?>
<ds:datastoreItem xmlns:ds="http://schemas.openxmlformats.org/officeDocument/2006/customXml" ds:itemID="{99B95BDB-82CE-46BC-8075-1E1A1F2E1A4E}">
  <ds:schemaRefs/>
</ds:datastoreItem>
</file>

<file path=customXml/itemProps23.xml><?xml version="1.0" encoding="utf-8"?>
<ds:datastoreItem xmlns:ds="http://schemas.openxmlformats.org/officeDocument/2006/customXml" ds:itemID="{71604DCD-4B8B-4A6D-8108-59AA36EE7642}">
  <ds:schemaRefs/>
</ds:datastoreItem>
</file>

<file path=customXml/itemProps24.xml><?xml version="1.0" encoding="utf-8"?>
<ds:datastoreItem xmlns:ds="http://schemas.openxmlformats.org/officeDocument/2006/customXml" ds:itemID="{6FA3C872-1DBB-4141-BC41-A30232E8DC7E}">
  <ds:schemaRefs/>
</ds:datastoreItem>
</file>

<file path=customXml/itemProps25.xml><?xml version="1.0" encoding="utf-8"?>
<ds:datastoreItem xmlns:ds="http://schemas.openxmlformats.org/officeDocument/2006/customXml" ds:itemID="{439EC6F7-234F-4ED7-9FAB-BE4BF0E64824}">
  <ds:schemaRefs/>
</ds:datastoreItem>
</file>

<file path=customXml/itemProps26.xml><?xml version="1.0" encoding="utf-8"?>
<ds:datastoreItem xmlns:ds="http://schemas.openxmlformats.org/officeDocument/2006/customXml" ds:itemID="{0F2CE7AC-6034-4B50-A653-1FCB6104A459}">
  <ds:schemaRefs/>
</ds:datastoreItem>
</file>

<file path=customXml/itemProps27.xml><?xml version="1.0" encoding="utf-8"?>
<ds:datastoreItem xmlns:ds="http://schemas.openxmlformats.org/officeDocument/2006/customXml" ds:itemID="{DEA101D4-634A-4B98-AB70-CE3C6F21EEE8}">
  <ds:schemaRefs/>
</ds:datastoreItem>
</file>

<file path=customXml/itemProps28.xml><?xml version="1.0" encoding="utf-8"?>
<ds:datastoreItem xmlns:ds="http://schemas.openxmlformats.org/officeDocument/2006/customXml" ds:itemID="{0F091BD8-CB84-4721-BD26-616E8B83712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</vt:i4>
      </vt:variant>
    </vt:vector>
  </HeadingPairs>
  <TitlesOfParts>
    <vt:vector size="21" baseType="lpstr">
      <vt:lpstr>Menu</vt:lpstr>
      <vt:lpstr>Produtos</vt:lpstr>
      <vt:lpstr>Vendedores</vt:lpstr>
      <vt:lpstr>Vendas</vt:lpstr>
      <vt:lpstr>Consultas</vt:lpstr>
      <vt:lpstr>Filtro Avançado</vt:lpstr>
      <vt:lpstr>Cadastros Auxiliares</vt:lpstr>
      <vt:lpstr>Dashboard</vt:lpstr>
      <vt:lpstr>Desafio 1 PROCX</vt:lpstr>
      <vt:lpstr>Desafio 2 PROCV</vt:lpstr>
      <vt:lpstr>DN_Produtos</vt:lpstr>
      <vt:lpstr>DN_Vendas</vt:lpstr>
      <vt:lpstr>DN_Vendedores</vt:lpstr>
      <vt:lpstr>Vendas Histórico</vt:lpstr>
      <vt:lpstr>DN_VendasHist</vt:lpstr>
      <vt:lpstr>Dashboard Desafio</vt:lpstr>
      <vt:lpstr>'Filtro Avançado'!Area_de_extracao</vt:lpstr>
      <vt:lpstr>'Filtro Avançado'!Criterios</vt:lpstr>
      <vt:lpstr>DESC_CATEGORIAS</vt:lpstr>
      <vt:lpstr>DESC_QTD</vt:lpstr>
      <vt:lpstr>TB_DESC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Pedro Miguel de Sousa Barbosa dos Santos - 12524152353</cp:lastModifiedBy>
  <cp:lastPrinted>2023-06-07T14:57:58Z</cp:lastPrinted>
  <dcterms:created xsi:type="dcterms:W3CDTF">2023-06-02T17:54:12Z</dcterms:created>
  <dcterms:modified xsi:type="dcterms:W3CDTF">2025-02-28T14:54:06Z</dcterms:modified>
</cp:coreProperties>
</file>